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\Documents\Github\Chord-Finder\"/>
    </mc:Choice>
  </mc:AlternateContent>
  <bookViews>
    <workbookView xWindow="0" yWindow="0" windowWidth="24000" windowHeight="9510"/>
  </bookViews>
  <sheets>
    <sheet name="Chords" sheetId="1" r:id="rId1"/>
    <sheet name="Data" sheetId="2" state="hidden" r:id="rId2"/>
  </sheets>
  <definedNames>
    <definedName name="ChordTypes">OFFSET(Data!$P$2,0,0,COUNTA(Data!$P:$P)-1,1)</definedName>
    <definedName name="Notes">Data!$B$2:$B$13</definedName>
    <definedName name="TuningName">OFFSET(Data!$G2,0,0,COUNTA(Data!$G:$G)-1,1)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4" i="1" l="1"/>
  <c r="O14" i="1"/>
  <c r="N14" i="1"/>
  <c r="M14" i="1"/>
  <c r="L14" i="1" l="1"/>
  <c r="C7" i="1" l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E6" i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F6" i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G6" i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G22" i="1" s="1"/>
  <c r="G23" i="1" s="1"/>
  <c r="H6" i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I6" i="1"/>
  <c r="I7" i="1" s="1"/>
  <c r="I8" i="1" s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D6" i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" i="2"/>
</calcChain>
</file>

<file path=xl/comments1.xml><?xml version="1.0" encoding="utf-8"?>
<comments xmlns="http://schemas.openxmlformats.org/spreadsheetml/2006/main">
  <authors>
    <author>Rob</author>
  </authors>
  <commentList>
    <comment ref="G1" authorId="0" shapeId="0">
      <text>
        <r>
          <rPr>
            <b/>
            <sz val="9"/>
            <color indexed="81"/>
            <rFont val="Tahoma"/>
            <family val="2"/>
          </rPr>
          <t>Tunings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Chords</t>
        </r>
      </text>
    </comment>
  </commentList>
</comments>
</file>

<file path=xl/sharedStrings.xml><?xml version="1.0" encoding="utf-8"?>
<sst xmlns="http://schemas.openxmlformats.org/spreadsheetml/2006/main" count="504" uniqueCount="118">
  <si>
    <t>C</t>
  </si>
  <si>
    <t>C#</t>
  </si>
  <si>
    <t>D</t>
  </si>
  <si>
    <t>Eb</t>
  </si>
  <si>
    <t>F</t>
  </si>
  <si>
    <t>F#</t>
  </si>
  <si>
    <t>G</t>
  </si>
  <si>
    <t>G#</t>
  </si>
  <si>
    <t>A</t>
  </si>
  <si>
    <t>Bb</t>
  </si>
  <si>
    <t>B</t>
  </si>
  <si>
    <t>E</t>
  </si>
  <si>
    <t>#1</t>
  </si>
  <si>
    <t>5b</t>
  </si>
  <si>
    <t>3b</t>
  </si>
  <si>
    <t>#5</t>
  </si>
  <si>
    <t>maj7</t>
  </si>
  <si>
    <t>8#</t>
  </si>
  <si>
    <t>10b</t>
  </si>
  <si>
    <t>11#</t>
  </si>
  <si>
    <t>12#</t>
  </si>
  <si>
    <t>Number</t>
  </si>
  <si>
    <t>Note</t>
  </si>
  <si>
    <t>Interval</t>
  </si>
  <si>
    <t>IntervalNumber</t>
  </si>
  <si>
    <t>Open</t>
  </si>
  <si>
    <t>Fret Numbers</t>
  </si>
  <si>
    <t>Standard</t>
  </si>
  <si>
    <t>Tuning:</t>
  </si>
  <si>
    <t>Buzzard</t>
  </si>
  <si>
    <t>1</t>
  </si>
  <si>
    <t>2</t>
  </si>
  <si>
    <t>3</t>
  </si>
  <si>
    <t>4</t>
  </si>
  <si>
    <t>5</t>
  </si>
  <si>
    <t>6</t>
  </si>
  <si>
    <t>TuningName</t>
  </si>
  <si>
    <t>Chord Type:</t>
  </si>
  <si>
    <t>Chord Root:</t>
  </si>
  <si>
    <t>ChordTypes</t>
  </si>
  <si>
    <t>Major</t>
  </si>
  <si>
    <t>Minor</t>
  </si>
  <si>
    <t>Sus4</t>
  </si>
  <si>
    <t>major 7</t>
  </si>
  <si>
    <t>minor 7</t>
  </si>
  <si>
    <t>Notes</t>
  </si>
  <si>
    <t>No.</t>
  </si>
  <si>
    <t>Open G</t>
  </si>
  <si>
    <t>DADABE (S. Malkmus)</t>
  </si>
  <si>
    <t>Open D</t>
  </si>
  <si>
    <t>New Standard Tuning</t>
  </si>
  <si>
    <t>Drop B</t>
  </si>
  <si>
    <t>Drop D</t>
  </si>
  <si>
    <t>Drop C</t>
  </si>
  <si>
    <t>Open C</t>
  </si>
  <si>
    <t>Open C (Alternative)</t>
  </si>
  <si>
    <t>Double Drop D</t>
  </si>
  <si>
    <t>Open G Minor</t>
  </si>
  <si>
    <t>Open C Minor</t>
  </si>
  <si>
    <t>Open A</t>
  </si>
  <si>
    <t>Open A (Variant)</t>
  </si>
  <si>
    <t>DADDDD</t>
  </si>
  <si>
    <t>CGDGBD</t>
  </si>
  <si>
    <t>DADEAD</t>
  </si>
  <si>
    <t>Open Gsus2</t>
  </si>
  <si>
    <t>G6</t>
  </si>
  <si>
    <t>Overtone</t>
  </si>
  <si>
    <t>Pentatonic</t>
  </si>
  <si>
    <t>Minor Third</t>
  </si>
  <si>
    <t>Major Third</t>
  </si>
  <si>
    <t>All Fourths</t>
  </si>
  <si>
    <t>Augmented Fourths</t>
  </si>
  <si>
    <t>Slow Motion</t>
  </si>
  <si>
    <t>Admiral</t>
  </si>
  <si>
    <t>Face</t>
  </si>
  <si>
    <t>Ostrich</t>
  </si>
  <si>
    <t>Capo 300</t>
  </si>
  <si>
    <t>Balalaika</t>
  </si>
  <si>
    <t>Cittern One</t>
  </si>
  <si>
    <t>Cittern Two</t>
  </si>
  <si>
    <t>Dobro</t>
  </si>
  <si>
    <t>Lefty</t>
  </si>
  <si>
    <t>Mandoguitar</t>
  </si>
  <si>
    <t>D#</t>
  </si>
  <si>
    <t>9th</t>
  </si>
  <si>
    <t>7th</t>
  </si>
  <si>
    <t>Colours</t>
  </si>
  <si>
    <t>Background</t>
  </si>
  <si>
    <t>Alt Notes</t>
  </si>
  <si>
    <t>R</t>
  </si>
  <si>
    <t>Add 9</t>
  </si>
  <si>
    <t>Aug</t>
  </si>
  <si>
    <t>Dim</t>
  </si>
  <si>
    <t>sus2</t>
  </si>
  <si>
    <t>CGDGBE (Slanted - S. Malkmus)</t>
  </si>
  <si>
    <t>CGCFAC (Neil Young)</t>
  </si>
  <si>
    <t>CGCFCE (Nick Drake)</t>
  </si>
  <si>
    <t>DADGAD (Open Dsus2)</t>
  </si>
  <si>
    <t>DADAAD (Blixa Bargeld)</t>
  </si>
  <si>
    <t>BF#D#D#F#B (Joni Mitchell - Turbulent Indigo)</t>
  </si>
  <si>
    <t>Open D minor (Joni Mitchell - Rainy Night House)</t>
  </si>
  <si>
    <t>DGDDGD (Joni Mitchell - Eastern Rain)</t>
  </si>
  <si>
    <t>DADDAA (Joni Mitchell - Carey)</t>
  </si>
  <si>
    <t>CGEEBE (Joni Mitchell - Help Me)</t>
  </si>
  <si>
    <t>DADEGA (Joni Mitchell - In France they Kiss on Main Street)</t>
  </si>
  <si>
    <t>CGDFGC (Joni Mitchell - Hejira)</t>
  </si>
  <si>
    <t>DAEGCE (Joni Mitchell - Furry Sings the Blues)</t>
  </si>
  <si>
    <t>AAC#EAE (Joni Mitchell - The Jungle Line)</t>
  </si>
  <si>
    <t>CGDFCE (Joni Mitchell - Coyote, Sisotowbell Lane,Ladies of the Canyon ...)</t>
  </si>
  <si>
    <t>BF#DF#AB (Joni Mitchell - The Hissing of Summer Lawns)</t>
  </si>
  <si>
    <t>BbBbDbFAbBb (Joni Mitchell - Black Crow)</t>
  </si>
  <si>
    <t>CGCEGC (Joni Mitchell - Amelia, Free Man in Paris ...)</t>
  </si>
  <si>
    <t>CACFGC (Joni Mitchell - For Free)</t>
  </si>
  <si>
    <t>FFCGAC (Joni Mitchell - Michael from the Mountains)</t>
  </si>
  <si>
    <t>Major 9th</t>
  </si>
  <si>
    <t>Palmer Modal Tuning</t>
  </si>
  <si>
    <t>DADDAD</t>
  </si>
  <si>
    <t>Rusty Cage (Soundgarden)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</si>
</sst>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Verdana"/>
      <family val="2"/>
    </font>
    <font>
      <sz val="8"/>
      <color rgb="FFFF0000"/>
      <name val="Verdana"/>
      <family val="2"/>
    </font>
    <font>
      <i/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color theme="0"/>
      <name val="Verdana"/>
      <family val="2"/>
    </font>
    <font>
      <b/>
      <i/>
      <sz val="8"/>
      <color theme="1"/>
      <name val="Verdana"/>
      <family val="2"/>
    </font>
    <font>
      <b/>
      <sz val="9"/>
      <color indexed="81"/>
      <name val="Tahoma"/>
      <family val="2"/>
    </font>
    <font>
      <b/>
      <sz val="8"/>
      <color rgb="FFFF0000"/>
      <name val="Verdana"/>
      <family val="2"/>
    </font>
    <font>
      <sz val="8"/>
      <name val="Verdana"/>
      <family val="2"/>
    </font>
    <font>
      <b/>
      <u/>
      <sz val="8"/>
      <name val="Verdana"/>
      <family val="2"/>
    </font>
    <font>
      <b/>
      <sz val="8"/>
      <color theme="0"/>
      <name val="Verdana"/>
      <family val="2"/>
    </font>
    <font>
      <b/>
      <sz val="12"/>
      <name val="Verdana"/>
      <family val="2"/>
    </font>
    <font>
      <sz val="11"/>
      <name val="Calibri"/>
      <family val="2"/>
      <scheme val="minor"/>
    </font>
    <font>
      <sz val="13.5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8DCB3"/>
        <bgColor indexed="64"/>
      </patternFill>
    </fill>
    <fill>
      <patternFill patternType="solid">
        <fgColor rgb="FF01F00A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9"/>
      </left>
      <right style="thick">
        <color indexed="64"/>
      </right>
      <top style="thick">
        <color indexed="9"/>
      </top>
      <bottom style="thick">
        <color auto="1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4" fillId="0" borderId="0" xfId="0" applyFont="1" applyFill="1"/>
    <xf numFmtId="0" fontId="5" fillId="0" borderId="0" xfId="0" applyFont="1" applyFill="1"/>
    <xf numFmtId="0" fontId="1" fillId="2" borderId="9" xfId="0" applyFont="1" applyFill="1" applyBorder="1"/>
    <xf numFmtId="0" fontId="0" fillId="0" borderId="9" xfId="0" applyBorder="1"/>
    <xf numFmtId="0" fontId="3" fillId="0" borderId="9" xfId="0" applyFont="1" applyFill="1" applyBorder="1"/>
    <xf numFmtId="0" fontId="0" fillId="0" borderId="9" xfId="0" applyBorder="1" applyAlignment="1">
      <alignment vertical="center" wrapText="1"/>
    </xf>
    <xf numFmtId="0" fontId="2" fillId="3" borderId="9" xfId="0" applyFont="1" applyFill="1" applyBorder="1"/>
    <xf numFmtId="0" fontId="3" fillId="0" borderId="0" xfId="0" applyFont="1" applyFill="1" applyBorder="1"/>
    <xf numFmtId="0" fontId="0" fillId="0" borderId="17" xfId="0" applyFill="1" applyBorder="1"/>
    <xf numFmtId="0" fontId="5" fillId="0" borderId="0" xfId="0" applyFont="1" applyFill="1" applyProtection="1">
      <protection locked="0"/>
    </xf>
    <xf numFmtId="0" fontId="4" fillId="0" borderId="0" xfId="0" applyFont="1" applyFill="1" applyBorder="1"/>
    <xf numFmtId="0" fontId="7" fillId="0" borderId="0" xfId="0" applyFont="1" applyFill="1" applyBorder="1"/>
    <xf numFmtId="0" fontId="11" fillId="0" borderId="0" xfId="0" applyFont="1" applyFill="1"/>
    <xf numFmtId="0" fontId="5" fillId="0" borderId="2" xfId="0" applyFont="1" applyFill="1" applyBorder="1"/>
    <xf numFmtId="0" fontId="5" fillId="0" borderId="0" xfId="0" applyFont="1" applyFill="1" applyBorder="1"/>
    <xf numFmtId="0" fontId="5" fillId="0" borderId="15" xfId="0" applyFont="1" applyFill="1" applyBorder="1"/>
    <xf numFmtId="0" fontId="13" fillId="0" borderId="0" xfId="0" applyFont="1" applyFill="1" applyBorder="1"/>
    <xf numFmtId="0" fontId="12" fillId="0" borderId="0" xfId="0" applyFont="1" applyFill="1" applyBorder="1"/>
    <xf numFmtId="0" fontId="8" fillId="0" borderId="0" xfId="0" applyFont="1" applyFill="1" applyBorder="1"/>
    <xf numFmtId="0" fontId="4" fillId="0" borderId="2" xfId="0" applyFont="1" applyFill="1" applyBorder="1"/>
    <xf numFmtId="0" fontId="8" fillId="0" borderId="0" xfId="0" applyFont="1" applyFill="1" applyBorder="1" applyProtection="1">
      <protection locked="0"/>
    </xf>
    <xf numFmtId="0" fontId="5" fillId="0" borderId="0" xfId="0" applyFont="1" applyFill="1" applyBorder="1" applyAlignment="1">
      <alignment horizontal="right"/>
    </xf>
    <xf numFmtId="0" fontId="11" fillId="0" borderId="10" xfId="0" applyFont="1" applyFill="1" applyBorder="1"/>
    <xf numFmtId="0" fontId="4" fillId="0" borderId="11" xfId="0" applyFont="1" applyFill="1" applyBorder="1"/>
    <xf numFmtId="0" fontId="11" fillId="0" borderId="12" xfId="0" applyFont="1" applyFill="1" applyBorder="1"/>
    <xf numFmtId="0" fontId="4" fillId="0" borderId="13" xfId="0" applyFont="1" applyFill="1" applyBorder="1"/>
    <xf numFmtId="0" fontId="11" fillId="0" borderId="14" xfId="0" applyFont="1" applyFill="1" applyBorder="1"/>
    <xf numFmtId="0" fontId="12" fillId="0" borderId="15" xfId="0" applyFont="1" applyFill="1" applyBorder="1"/>
    <xf numFmtId="0" fontId="4" fillId="0" borderId="16" xfId="0" applyFont="1" applyFill="1" applyBorder="1"/>
    <xf numFmtId="0" fontId="6" fillId="4" borderId="4" xfId="0" applyFont="1" applyFill="1" applyBorder="1"/>
    <xf numFmtId="0" fontId="4" fillId="4" borderId="0" xfId="0" applyFont="1" applyFill="1" applyBorder="1"/>
    <xf numFmtId="0" fontId="6" fillId="4" borderId="2" xfId="0" applyFont="1" applyFill="1" applyBorder="1"/>
    <xf numFmtId="0" fontId="6" fillId="4" borderId="1" xfId="0" applyFont="1" applyFill="1" applyBorder="1"/>
    <xf numFmtId="0" fontId="4" fillId="4" borderId="8" xfId="0" applyFont="1" applyFill="1" applyBorder="1"/>
    <xf numFmtId="0" fontId="6" fillId="4" borderId="7" xfId="0" applyFont="1" applyFill="1" applyBorder="1"/>
    <xf numFmtId="0" fontId="6" fillId="5" borderId="4" xfId="0" applyFont="1" applyFill="1" applyBorder="1"/>
    <xf numFmtId="0" fontId="6" fillId="4" borderId="0" xfId="0" applyFont="1" applyFill="1" applyBorder="1"/>
    <xf numFmtId="0" fontId="6" fillId="5" borderId="2" xfId="0" applyFont="1" applyFill="1" applyBorder="1"/>
    <xf numFmtId="0" fontId="6" fillId="5" borderId="7" xfId="0" applyFont="1" applyFill="1" applyBorder="1"/>
    <xf numFmtId="0" fontId="14" fillId="0" borderId="12" xfId="0" applyFont="1" applyFill="1" applyBorder="1"/>
    <xf numFmtId="0" fontId="15" fillId="0" borderId="0" xfId="0" applyFont="1" applyFill="1" applyBorder="1" applyProtection="1"/>
    <xf numFmtId="0" fontId="6" fillId="4" borderId="3" xfId="0" applyFont="1" applyFill="1" applyBorder="1"/>
    <xf numFmtId="0" fontId="6" fillId="4" borderId="6" xfId="0" applyFont="1" applyFill="1" applyBorder="1"/>
    <xf numFmtId="0" fontId="0" fillId="0" borderId="0" xfId="0" applyBorder="1"/>
    <xf numFmtId="0" fontId="0" fillId="0" borderId="0" xfId="0" applyFill="1" applyBorder="1"/>
    <xf numFmtId="0" fontId="4" fillId="4" borderId="18" xfId="0" applyFont="1" applyFill="1" applyBorder="1"/>
    <xf numFmtId="0" fontId="6" fillId="4" borderId="18" xfId="0" applyFont="1" applyFill="1" applyBorder="1"/>
    <xf numFmtId="0" fontId="4" fillId="4" borderId="5" xfId="0" applyFont="1" applyFill="1" applyBorder="1"/>
    <xf numFmtId="0" fontId="16" fillId="0" borderId="9" xfId="0" applyFont="1" applyBorder="1" applyAlignment="1">
      <alignment vertical="center" wrapText="1"/>
    </xf>
    <xf numFmtId="0" fontId="16" fillId="0" borderId="9" xfId="0" applyFont="1" applyBorder="1"/>
    <xf numFmtId="0" fontId="17" fillId="0" borderId="9" xfId="0" applyFont="1" applyBorder="1" applyAlignment="1">
      <alignment vertical="center"/>
    </xf>
    <xf numFmtId="0" fontId="16" fillId="0" borderId="9" xfId="0" applyFont="1" applyFill="1" applyBorder="1" applyAlignment="1">
      <alignment vertical="center" wrapText="1"/>
    </xf>
    <xf numFmtId="0" fontId="16" fillId="0" borderId="9" xfId="0" applyFont="1" applyFill="1" applyBorder="1"/>
    <xf numFmtId="0" fontId="12" fillId="0" borderId="12" xfId="0" applyFont="1" applyFill="1" applyBorder="1" applyAlignment="1">
      <alignment horizontal="right"/>
    </xf>
    <xf numFmtId="0" fontId="0" fillId="0" borderId="0" xfId="0" applyBorder="1" applyAlignment="1"/>
    <xf numFmtId="0" fontId="9" fillId="4" borderId="19" xfId="0" applyFont="1" applyFill="1" applyBorder="1"/>
    <xf numFmtId="0" fontId="7" fillId="4" borderId="19" xfId="0" applyFont="1" applyFill="1" applyBorder="1"/>
  </cellXfs>
  <cellStyles count="1">
    <cellStyle name="Normal" xfId="0" builtinId="0"/>
  </cellStyles>
  <dxfs count="2">
    <dxf>
      <font>
        <color theme="0"/>
      </font>
      <fill>
        <gradientFill degree="135">
          <stop position="0">
            <color theme="1"/>
          </stop>
          <stop position="1">
            <color theme="7" tint="0.40000610370189521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fill>
        <gradientFill degree="135">
          <stop position="0">
            <color theme="1"/>
          </stop>
          <stop position="1">
            <color theme="7" tint="0.40000610370189521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Style="combo" dx="22" fmlaLink="K2" fmlaRange="TuningName" noThreeD="1" sel="1" val="53"/>
</file>

<file path=xl/ctrlProps/ctrlProp2.xml><?xml version="1.0" encoding="utf-8"?>
<formControlPr xmlns="http://schemas.microsoft.com/office/spreadsheetml/2009/9/main" objectType="Drop" dropStyle="combo" dx="22" fmlaLink="N7" fmlaRange="Notes" noThreeD="1" sel="1" val="0"/>
</file>

<file path=xl/ctrlProps/ctrlProp3.xml><?xml version="1.0" encoding="utf-8"?>
<formControlPr xmlns="http://schemas.microsoft.com/office/spreadsheetml/2009/9/main" objectType="Drop" dropStyle="combo" dx="22" fmlaLink="N9" fmlaRange="ChordTypes" noThreeD="1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133350</xdr:rowOff>
        </xdr:from>
        <xdr:to>
          <xdr:col>11</xdr:col>
          <xdr:colOff>190500</xdr:colOff>
          <xdr:row>2</xdr:row>
          <xdr:rowOff>123825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</xdr:row>
          <xdr:rowOff>123825</xdr:rowOff>
        </xdr:from>
        <xdr:to>
          <xdr:col>16</xdr:col>
          <xdr:colOff>371475</xdr:colOff>
          <xdr:row>6</xdr:row>
          <xdr:rowOff>180975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7</xdr:row>
          <xdr:rowOff>114300</xdr:rowOff>
        </xdr:from>
        <xdr:to>
          <xdr:col>16</xdr:col>
          <xdr:colOff>371475</xdr:colOff>
          <xdr:row>8</xdr:row>
          <xdr:rowOff>161925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335281</xdr:colOff>
      <xdr:row>6</xdr:row>
      <xdr:rowOff>49389</xdr:rowOff>
    </xdr:from>
    <xdr:to>
      <xdr:col>1</xdr:col>
      <xdr:colOff>536222</xdr:colOff>
      <xdr:row>13</xdr:row>
      <xdr:rowOff>49389</xdr:rowOff>
    </xdr:to>
    <xdr:sp macro="" textlink="">
      <xdr:nvSpPr>
        <xdr:cNvPr id="3" name="Arrow: Dow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42059" y="903111"/>
          <a:ext cx="200941" cy="1030111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T24"/>
  <sheetViews>
    <sheetView showGridLines="0" showRowColHeaders="0" tabSelected="1" zoomScale="135" zoomScaleNormal="135" workbookViewId="0">
      <selection activeCell="K24" sqref="K24"/>
    </sheetView>
  </sheetViews>
  <sheetFormatPr defaultRowHeight="10.5" x14ac:dyDescent="0.15"/>
  <cols>
    <col min="1" max="1" width="9.140625" style="1"/>
    <col min="2" max="2" width="11.5703125" style="1" customWidth="1"/>
    <col min="3" max="3" width="5.28515625" style="1" bestFit="1" customWidth="1"/>
    <col min="4" max="9" width="4.85546875" style="1" bestFit="1" customWidth="1"/>
    <col min="10" max="10" width="8.7109375" style="1" customWidth="1"/>
    <col min="11" max="11" width="10" style="1" customWidth="1"/>
    <col min="12" max="16" width="4.7109375" style="1" customWidth="1"/>
    <col min="17" max="16384" width="9.140625" style="1"/>
  </cols>
  <sheetData>
    <row r="1" spans="1:18" x14ac:dyDescent="0.15">
      <c r="K1" s="2"/>
      <c r="L1" s="2"/>
      <c r="M1" s="2"/>
      <c r="N1" s="2"/>
      <c r="O1" s="2"/>
    </row>
    <row r="2" spans="1:18" x14ac:dyDescent="0.15">
      <c r="B2" s="1" t="s">
        <v>28</v>
      </c>
      <c r="K2" s="10">
        <v>1</v>
      </c>
      <c r="L2" s="2"/>
      <c r="M2" s="2"/>
      <c r="N2" s="2"/>
      <c r="O2" s="2"/>
      <c r="P2" s="2"/>
    </row>
    <row r="3" spans="1:18" x14ac:dyDescent="0.15">
      <c r="K3" s="2"/>
      <c r="L3" s="2"/>
      <c r="M3" s="2"/>
      <c r="N3" s="2"/>
      <c r="O3" s="2"/>
      <c r="P3" s="2"/>
    </row>
    <row r="4" spans="1:18" ht="11.25" thickBot="1" x14ac:dyDescent="0.2">
      <c r="A4" s="11"/>
      <c r="B4" s="11"/>
      <c r="C4" s="11"/>
      <c r="D4" s="11"/>
      <c r="E4" s="11"/>
      <c r="F4" s="11"/>
      <c r="G4" s="11"/>
      <c r="H4" s="11"/>
      <c r="I4" s="11"/>
      <c r="J4" s="11"/>
      <c r="K4" s="2"/>
      <c r="L4" s="2"/>
      <c r="M4" s="2"/>
      <c r="N4" s="2"/>
      <c r="O4" s="2"/>
      <c r="P4" s="2"/>
      <c r="Q4" s="2"/>
    </row>
    <row r="5" spans="1:18" ht="12" thickTop="1" thickBot="1" x14ac:dyDescent="0.2">
      <c r="A5" s="11"/>
      <c r="B5" s="11"/>
      <c r="C5" s="11" t="s">
        <v>25</v>
      </c>
      <c r="D5" s="56" t="s">
        <v>11</v>
      </c>
      <c r="E5" s="31" t="s">
        <v>8</v>
      </c>
      <c r="F5" s="31" t="s">
        <v>2</v>
      </c>
      <c r="G5" s="57" t="s">
        <v>6</v>
      </c>
      <c r="H5" s="31" t="s">
        <v>10</v>
      </c>
      <c r="I5" s="57" t="s">
        <v>11</v>
      </c>
      <c r="J5" s="12"/>
      <c r="K5" s="23"/>
      <c r="L5" s="14"/>
      <c r="M5" s="14"/>
      <c r="N5" s="14"/>
      <c r="O5" s="14"/>
      <c r="P5" s="14"/>
      <c r="Q5" s="14"/>
      <c r="R5" s="24"/>
    </row>
    <row r="6" spans="1:18" ht="12" thickTop="1" thickBot="1" x14ac:dyDescent="0.2">
      <c r="A6" s="11"/>
      <c r="B6" s="11" t="s">
        <v>26</v>
      </c>
      <c r="C6" s="11">
        <v>1</v>
      </c>
      <c r="D6" s="48" t="str">
        <f>INDEX(Data!$B$1:$B$26,MATCH(D5,Data!$B$1:$B$26,0)+1,1)</f>
        <v>F</v>
      </c>
      <c r="E6" s="47" t="str">
        <f>INDEX(Data!$B$1:$B$26,MATCH(E5,Data!$B$1:$B$26,0)+1,1)</f>
        <v>Bb</v>
      </c>
      <c r="F6" s="46" t="str">
        <f>INDEX(Data!$B$1:$B$26,MATCH(F5,Data!$B$1:$B$26,0)+1,1)</f>
        <v>Eb</v>
      </c>
      <c r="G6" s="31" t="str">
        <f>INDEX(Data!$B$1:$B$26,MATCH(G5,Data!$B$1:$B$26,0)+1,1)</f>
        <v>G#</v>
      </c>
      <c r="H6" s="56" t="str">
        <f>INDEX(Data!$B$1:$B$26,MATCH(H5,Data!$B$1:$B$26,0)+1,1)</f>
        <v>C</v>
      </c>
      <c r="I6" s="34" t="str">
        <f>INDEX(Data!$B$1:$B$26,MATCH(I5,Data!$B$1:$B$26,0)+1,1)</f>
        <v>F</v>
      </c>
      <c r="J6" s="12"/>
      <c r="K6" s="25"/>
      <c r="L6" s="15"/>
      <c r="M6" s="15"/>
      <c r="N6" s="19">
        <v>3</v>
      </c>
      <c r="O6" s="15"/>
      <c r="P6" s="15"/>
      <c r="Q6" s="15"/>
      <c r="R6" s="26"/>
    </row>
    <row r="7" spans="1:18" ht="16.5" thickTop="1" thickBot="1" x14ac:dyDescent="0.3">
      <c r="A7" s="11"/>
      <c r="B7" s="11"/>
      <c r="C7" s="11">
        <f>C6+1</f>
        <v>2</v>
      </c>
      <c r="D7" s="30" t="str">
        <f>INDEX(Data!$B$1:$B$26,MATCH(D6,Data!$B$1:$B$26,0)+1,1)</f>
        <v>F#</v>
      </c>
      <c r="E7" s="32" t="str">
        <f>INDEX(Data!$B$1:$B$26,MATCH(E6,Data!$B$1:$B$26,0)+1,1)</f>
        <v>B</v>
      </c>
      <c r="F7" s="56" t="str">
        <f>INDEX(Data!$B$1:$B$26,MATCH(F6,Data!$B$1:$B$26,0)+1,1)</f>
        <v>E</v>
      </c>
      <c r="G7" s="32" t="str">
        <f>INDEX(Data!$B$1:$B$26,MATCH(G6,Data!$B$1:$B$26,0)+1,1)</f>
        <v>A</v>
      </c>
      <c r="H7" s="37" t="str">
        <f>INDEX(Data!$B$1:$B$26,MATCH(H6,Data!$B$1:$B$26,0)+1,1)</f>
        <v>C#</v>
      </c>
      <c r="I7" s="35" t="str">
        <f>INDEX(Data!$B$1:$B$26,MATCH(I6,Data!$B$1:$B$26,0)+1,1)</f>
        <v>F#</v>
      </c>
      <c r="J7" s="12"/>
      <c r="K7" s="54" t="s">
        <v>38</v>
      </c>
      <c r="L7" s="55"/>
      <c r="M7" s="15"/>
      <c r="N7" s="21">
        <v>1</v>
      </c>
      <c r="O7" s="15"/>
      <c r="P7" s="15"/>
      <c r="Q7" s="15"/>
      <c r="R7" s="26"/>
    </row>
    <row r="8" spans="1:18" ht="12" thickTop="1" thickBot="1" x14ac:dyDescent="0.2">
      <c r="A8" s="11"/>
      <c r="B8" s="11"/>
      <c r="C8" s="11">
        <f t="shared" ref="C8:C21" si="0">C7+1</f>
        <v>3</v>
      </c>
      <c r="D8" s="36" t="str">
        <f>INDEX(Data!$B$1:$B$26,MATCH(D7,Data!$B$1:$B$26,0)+1,1)</f>
        <v>G</v>
      </c>
      <c r="E8" s="56" t="str">
        <f>INDEX(Data!$B$1:$B$26,MATCH(E7,Data!$B$1:$B$26,0)+1,1)</f>
        <v>C</v>
      </c>
      <c r="F8" s="37" t="str">
        <f>INDEX(Data!$B$1:$B$26,MATCH(F7,Data!$B$1:$B$26,0)+1,1)</f>
        <v>F</v>
      </c>
      <c r="G8" s="32" t="str">
        <f>INDEX(Data!$B$1:$B$26,MATCH(G7,Data!$B$1:$B$26,0)+1,1)</f>
        <v>Bb</v>
      </c>
      <c r="H8" s="32" t="str">
        <f>INDEX(Data!$B$1:$B$26,MATCH(H7,Data!$B$1:$B$26,0)+1,1)</f>
        <v>D</v>
      </c>
      <c r="I8" s="39" t="str">
        <f>INDEX(Data!$B$1:$B$26,MATCH(I7,Data!$B$1:$B$26,0)+1,1)</f>
        <v>G</v>
      </c>
      <c r="J8" s="12"/>
      <c r="K8" s="25"/>
      <c r="L8" s="22"/>
      <c r="M8" s="15"/>
      <c r="N8" s="19">
        <v>11</v>
      </c>
      <c r="O8" s="15"/>
      <c r="P8" s="15"/>
      <c r="Q8" s="15"/>
      <c r="R8" s="26"/>
    </row>
    <row r="9" spans="1:18" ht="15.75" thickTop="1" x14ac:dyDescent="0.25">
      <c r="A9" s="11"/>
      <c r="B9" s="11"/>
      <c r="C9" s="11">
        <f t="shared" si="0"/>
        <v>4</v>
      </c>
      <c r="D9" s="30" t="str">
        <f>INDEX(Data!$B$1:$B$26,MATCH(D8,Data!$B$1:$B$26,0)+1,1)</f>
        <v>G#</v>
      </c>
      <c r="E9" s="37" t="str">
        <f>INDEX(Data!$B$1:$B$26,MATCH(E8,Data!$B$1:$B$26,0)+1,1)</f>
        <v>C#</v>
      </c>
      <c r="F9" s="32" t="str">
        <f>INDEX(Data!$B$1:$B$26,MATCH(F8,Data!$B$1:$B$26,0)+1,1)</f>
        <v>F#</v>
      </c>
      <c r="G9" s="32" t="str">
        <f>INDEX(Data!$B$1:$B$26,MATCH(G8,Data!$B$1:$B$26,0)+1,1)</f>
        <v>B</v>
      </c>
      <c r="H9" s="32" t="str">
        <f>INDEX(Data!$B$1:$B$26,MATCH(H8,Data!$B$1:$B$26,0)+1,1)</f>
        <v>Eb</v>
      </c>
      <c r="I9" s="35" t="str">
        <f>INDEX(Data!$B$1:$B$26,MATCH(I8,Data!$B$1:$B$26,0)+1,1)</f>
        <v>G#</v>
      </c>
      <c r="J9" s="12"/>
      <c r="K9" s="54" t="s">
        <v>37</v>
      </c>
      <c r="L9" s="55"/>
      <c r="M9" s="15"/>
      <c r="N9" s="21">
        <v>1</v>
      </c>
      <c r="O9" s="15"/>
      <c r="P9" s="15"/>
      <c r="Q9" s="15"/>
      <c r="R9" s="26"/>
    </row>
    <row r="10" spans="1:18" x14ac:dyDescent="0.15">
      <c r="A10" s="11"/>
      <c r="B10" s="11"/>
      <c r="C10" s="11">
        <f t="shared" si="0"/>
        <v>5</v>
      </c>
      <c r="D10" s="30" t="str">
        <f>INDEX(Data!$B$1:$B$26,MATCH(D9,Data!$B$1:$B$26,0)+1,1)</f>
        <v>A</v>
      </c>
      <c r="E10" s="32" t="str">
        <f>INDEX(Data!$B$1:$B$26,MATCH(E9,Data!$B$1:$B$26,0)+1,1)</f>
        <v>D</v>
      </c>
      <c r="F10" s="38" t="str">
        <f>INDEX(Data!$B$1:$B$26,MATCH(F9,Data!$B$1:$B$26,0)+1,1)</f>
        <v>G</v>
      </c>
      <c r="G10" s="38" t="str">
        <f>INDEX(Data!$B$1:$B$26,MATCH(G9,Data!$B$1:$B$26,0)+1,1)</f>
        <v>C</v>
      </c>
      <c r="H10" s="38" t="str">
        <f>INDEX(Data!$B$1:$B$26,MATCH(H9,Data!$B$1:$B$26,0)+1,1)</f>
        <v>E</v>
      </c>
      <c r="I10" s="35" t="str">
        <f>INDEX(Data!$B$1:$B$26,MATCH(I9,Data!$B$1:$B$26,0)+1,1)</f>
        <v>A</v>
      </c>
      <c r="J10" s="12"/>
      <c r="K10" s="25"/>
      <c r="L10" s="15"/>
      <c r="M10" s="15"/>
      <c r="N10" s="19"/>
      <c r="O10" s="15"/>
      <c r="P10" s="15"/>
      <c r="Q10" s="15"/>
      <c r="R10" s="26"/>
    </row>
    <row r="11" spans="1:18" x14ac:dyDescent="0.15">
      <c r="A11" s="11"/>
      <c r="B11" s="11"/>
      <c r="C11" s="11">
        <f t="shared" si="0"/>
        <v>6</v>
      </c>
      <c r="D11" s="30" t="str">
        <f>INDEX(Data!$B$1:$B$26,MATCH(D10,Data!$B$1:$B$26,0)+1,1)</f>
        <v>Bb</v>
      </c>
      <c r="E11" s="32" t="str">
        <f>INDEX(Data!$B$1:$B$26,MATCH(E10,Data!$B$1:$B$26,0)+1,1)</f>
        <v>Eb</v>
      </c>
      <c r="F11" s="32" t="str">
        <f>INDEX(Data!$B$1:$B$26,MATCH(F10,Data!$B$1:$B$26,0)+1,1)</f>
        <v>G#</v>
      </c>
      <c r="G11" s="32" t="str">
        <f>INDEX(Data!$B$1:$B$26,MATCH(G10,Data!$B$1:$B$26,0)+1,1)</f>
        <v>C#</v>
      </c>
      <c r="H11" s="32" t="str">
        <f>INDEX(Data!$B$1:$B$26,MATCH(H10,Data!$B$1:$B$26,0)+1,1)</f>
        <v>F</v>
      </c>
      <c r="I11" s="35" t="str">
        <f>INDEX(Data!$B$1:$B$26,MATCH(I10,Data!$B$1:$B$26,0)+1,1)</f>
        <v>Bb</v>
      </c>
      <c r="J11" s="12"/>
      <c r="K11" s="25"/>
      <c r="L11" s="15"/>
      <c r="M11" s="15"/>
      <c r="N11" s="15"/>
      <c r="O11" s="15"/>
      <c r="P11" s="15"/>
      <c r="Q11" s="11"/>
      <c r="R11" s="26"/>
    </row>
    <row r="12" spans="1:18" x14ac:dyDescent="0.15">
      <c r="A12" s="11"/>
      <c r="B12" s="11"/>
      <c r="C12" s="11">
        <f t="shared" si="0"/>
        <v>7</v>
      </c>
      <c r="D12" s="30" t="str">
        <f>INDEX(Data!$B$1:$B$26,MATCH(D11,Data!$B$1:$B$26,0)+1,1)</f>
        <v>B</v>
      </c>
      <c r="E12" s="38" t="str">
        <f>INDEX(Data!$B$1:$B$26,MATCH(E11,Data!$B$1:$B$26,0)+1,1)</f>
        <v>E</v>
      </c>
      <c r="F12" s="32" t="str">
        <f>INDEX(Data!$B$1:$B$26,MATCH(F11,Data!$B$1:$B$26,0)+1,1)</f>
        <v>A</v>
      </c>
      <c r="G12" s="32" t="str">
        <f>INDEX(Data!$B$1:$B$26,MATCH(G11,Data!$B$1:$B$26,0)+1,1)</f>
        <v>D</v>
      </c>
      <c r="H12" s="32" t="str">
        <f>INDEX(Data!$B$1:$B$26,MATCH(H11,Data!$B$1:$B$26,0)+1,1)</f>
        <v>F#</v>
      </c>
      <c r="I12" s="35" t="str">
        <f>INDEX(Data!$B$1:$B$26,MATCH(I11,Data!$B$1:$B$26,0)+1,1)</f>
        <v>B</v>
      </c>
      <c r="J12" s="12"/>
      <c r="K12" s="25"/>
      <c r="L12" s="17" t="s">
        <v>45</v>
      </c>
      <c r="M12" s="18"/>
      <c r="N12" s="18"/>
      <c r="O12" s="19"/>
      <c r="P12" s="19"/>
      <c r="Q12" s="15"/>
      <c r="R12" s="26"/>
    </row>
    <row r="13" spans="1:18" x14ac:dyDescent="0.15">
      <c r="A13" s="11"/>
      <c r="B13" s="11"/>
      <c r="C13" s="11">
        <f t="shared" si="0"/>
        <v>8</v>
      </c>
      <c r="D13" s="36" t="str">
        <f>INDEX(Data!$B$1:$B$26,MATCH(D12,Data!$B$1:$B$26,0)+1,1)</f>
        <v>C</v>
      </c>
      <c r="E13" s="32" t="str">
        <f>INDEX(Data!$B$1:$B$26,MATCH(E12,Data!$B$1:$B$26,0)+1,1)</f>
        <v>F</v>
      </c>
      <c r="F13" s="32" t="str">
        <f>INDEX(Data!$B$1:$B$26,MATCH(F12,Data!$B$1:$B$26,0)+1,1)</f>
        <v>Bb</v>
      </c>
      <c r="G13" s="32" t="str">
        <f>INDEX(Data!$B$1:$B$26,MATCH(G12,Data!$B$1:$B$26,0)+1,1)</f>
        <v>Eb</v>
      </c>
      <c r="H13" s="38" t="str">
        <f>INDEX(Data!$B$1:$B$26,MATCH(H12,Data!$B$1:$B$26,0)+1,1)</f>
        <v>G</v>
      </c>
      <c r="I13" s="39" t="str">
        <f>INDEX(Data!$B$1:$B$26,MATCH(I12,Data!$B$1:$B$26,0)+1,1)</f>
        <v>C</v>
      </c>
      <c r="J13" s="12"/>
      <c r="K13" s="40"/>
      <c r="L13" s="19">
        <v>1</v>
      </c>
      <c r="M13" s="19">
        <v>2</v>
      </c>
      <c r="N13" s="19">
        <v>3</v>
      </c>
      <c r="O13" s="19">
        <v>4</v>
      </c>
      <c r="P13" s="19">
        <v>5</v>
      </c>
      <c r="Q13" s="19"/>
      <c r="R13" s="26"/>
    </row>
    <row r="14" spans="1:18" ht="15" x14ac:dyDescent="0.2">
      <c r="A14" s="11"/>
      <c r="B14" s="11"/>
      <c r="C14" s="11">
        <f t="shared" si="0"/>
        <v>9</v>
      </c>
      <c r="D14" s="30" t="str">
        <f>INDEX(Data!$B$1:$B$26,MATCH(D13,Data!$B$1:$B$26,0)+1,1)</f>
        <v>C#</v>
      </c>
      <c r="E14" s="32" t="str">
        <f>INDEX(Data!$B$1:$B$26,MATCH(E13,Data!$B$1:$B$26,0)+1,1)</f>
        <v>F#</v>
      </c>
      <c r="F14" s="32" t="str">
        <f>INDEX(Data!$B$1:$B$26,MATCH(F13,Data!$B$1:$B$26,0)+1,1)</f>
        <v>B</v>
      </c>
      <c r="G14" s="38" t="str">
        <f>INDEX(Data!$B$1:$B$26,MATCH(G13,Data!$B$1:$B$26,0)+1,1)</f>
        <v>E</v>
      </c>
      <c r="H14" s="32" t="str">
        <f>INDEX(Data!$B$1:$B$26,MATCH(H13,Data!$B$1:$B$26,0)+1,1)</f>
        <v>G#</v>
      </c>
      <c r="I14" s="35" t="str">
        <f>INDEX(Data!$B$1:$B$26,MATCH(I13,Data!$B$1:$B$26,0)+1,1)</f>
        <v>C#</v>
      </c>
      <c r="J14" s="12"/>
      <c r="K14" s="25"/>
      <c r="L14" s="41" t="str">
        <f>INDEX(Data!$B$1:$B$26,Chords!$N$7+1,1)</f>
        <v>C</v>
      </c>
      <c r="M14" s="41" t="str">
        <f>INDEX(Data!$B$1:$B$26,Chords!$N$7+INDEX(Data!$R:$R,MATCH($N$9,Data!$O:$O,0),0),1)</f>
        <v>E</v>
      </c>
      <c r="N14" s="41" t="str">
        <f>IF(INDEX(Data!$S:$S,MATCH($N$9,Data!$O:$O,0))=0,"",INDEX(Data!$B$1:$B$26,Chords!$N$7+INDEX(Data!$S:$S,MATCH($N$9,Data!$O:$O,0),0),1))</f>
        <v>G</v>
      </c>
      <c r="O14" s="41" t="str">
        <f>IF(INDEX(Data!$T:$T,MATCH($N$9,Data!$O:$O,0))=0,"",INDEX(Data!$B$1:$B$26,Chords!$N$7+INDEX(Data!$T:$T,MATCH($N$9,Data!$O:$O,0),0),1))</f>
        <v/>
      </c>
      <c r="P14" s="41" t="str">
        <f>IF(INDEX(Data!$U:$U,MATCH($N$9,Data!$O:$O,0))=0,"",INDEX(Data!$B$1:$B$26,Chords!$N$7+INDEX(Data!$U:$U,MATCH($N$9,Data!$O:$O,0),0),1))</f>
        <v/>
      </c>
      <c r="Q14" s="15"/>
      <c r="R14" s="26"/>
    </row>
    <row r="15" spans="1:18" x14ac:dyDescent="0.15">
      <c r="A15" s="11"/>
      <c r="B15" s="11"/>
      <c r="C15" s="11">
        <f t="shared" si="0"/>
        <v>10</v>
      </c>
      <c r="D15" s="30" t="str">
        <f>INDEX(Data!$B$1:$B$26,MATCH(D14,Data!$B$1:$B$26,0)+1,1)</f>
        <v>D</v>
      </c>
      <c r="E15" s="38" t="str">
        <f>INDEX(Data!$B$1:$B$26,MATCH(E14,Data!$B$1:$B$26,0)+1,1)</f>
        <v>G</v>
      </c>
      <c r="F15" s="38" t="str">
        <f>INDEX(Data!$B$1:$B$26,MATCH(F14,Data!$B$1:$B$26,0)+1,1)</f>
        <v>C</v>
      </c>
      <c r="G15" s="32" t="str">
        <f>INDEX(Data!$B$1:$B$26,MATCH(G14,Data!$B$1:$B$26,0)+1,1)</f>
        <v>F</v>
      </c>
      <c r="H15" s="32" t="str">
        <f>INDEX(Data!$B$1:$B$26,MATCH(H14,Data!$B$1:$B$26,0)+1,1)</f>
        <v>A</v>
      </c>
      <c r="I15" s="35" t="str">
        <f>INDEX(Data!$B$1:$B$26,MATCH(I14,Data!$B$1:$B$26,0)+1,1)</f>
        <v>D</v>
      </c>
      <c r="J15" s="12"/>
      <c r="K15" s="25"/>
      <c r="L15" s="18"/>
      <c r="M15" s="18"/>
      <c r="N15" s="18"/>
      <c r="O15" s="15"/>
      <c r="P15" s="18"/>
      <c r="Q15" s="15"/>
      <c r="R15" s="26"/>
    </row>
    <row r="16" spans="1:18" x14ac:dyDescent="0.15">
      <c r="A16" s="11"/>
      <c r="B16" s="11"/>
      <c r="C16" s="11">
        <f t="shared" si="0"/>
        <v>11</v>
      </c>
      <c r="D16" s="30" t="str">
        <f>INDEX(Data!$B$1:$B$26,MATCH(D15,Data!$B$1:$B$26,0)+1,1)</f>
        <v>Eb</v>
      </c>
      <c r="E16" s="32" t="str">
        <f>INDEX(Data!$B$1:$B$26,MATCH(E15,Data!$B$1:$B$26,0)+1,1)</f>
        <v>G#</v>
      </c>
      <c r="F16" s="32" t="str">
        <f>INDEX(Data!$B$1:$B$26,MATCH(F15,Data!$B$1:$B$26,0)+1,1)</f>
        <v>C#</v>
      </c>
      <c r="G16" s="32" t="str">
        <f>INDEX(Data!$B$1:$B$26,MATCH(G15,Data!$B$1:$B$26,0)+1,1)</f>
        <v>F#</v>
      </c>
      <c r="H16" s="32" t="str">
        <f>INDEX(Data!$B$1:$B$26,MATCH(H15,Data!$B$1:$B$26,0)+1,1)</f>
        <v>Bb</v>
      </c>
      <c r="I16" s="35" t="str">
        <f>INDEX(Data!$B$1:$B$26,MATCH(I15,Data!$B$1:$B$26,0)+1,1)</f>
        <v>Eb</v>
      </c>
      <c r="J16" s="12"/>
      <c r="K16" s="27"/>
      <c r="L16" s="28"/>
      <c r="M16" s="28"/>
      <c r="N16" s="28"/>
      <c r="O16" s="16"/>
      <c r="P16" s="16"/>
      <c r="Q16" s="16"/>
      <c r="R16" s="29"/>
    </row>
    <row r="17" spans="1:20" x14ac:dyDescent="0.15">
      <c r="A17" s="11"/>
      <c r="B17" s="11"/>
      <c r="C17" s="11">
        <f t="shared" si="0"/>
        <v>12</v>
      </c>
      <c r="D17" s="36" t="str">
        <f>INDEX(Data!$B$1:$B$26,MATCH(D16,Data!$B$1:$B$26,0)+1,1)</f>
        <v>E</v>
      </c>
      <c r="E17" s="32" t="str">
        <f>INDEX(Data!$B$1:$B$26,MATCH(E16,Data!$B$1:$B$26,0)+1,1)</f>
        <v>A</v>
      </c>
      <c r="F17" s="32" t="str">
        <f>INDEX(Data!$B$1:$B$26,MATCH(F16,Data!$B$1:$B$26,0)+1,1)</f>
        <v>D</v>
      </c>
      <c r="G17" s="38" t="str">
        <f>INDEX(Data!$B$1:$B$26,MATCH(G16,Data!$B$1:$B$26,0)+1,1)</f>
        <v>G</v>
      </c>
      <c r="H17" s="32" t="str">
        <f>INDEX(Data!$B$1:$B$26,MATCH(H16,Data!$B$1:$B$26,0)+1,1)</f>
        <v>B</v>
      </c>
      <c r="I17" s="39" t="str">
        <f>INDEX(Data!$B$1:$B$26,MATCH(I16,Data!$B$1:$B$26,0)+1,1)</f>
        <v>E</v>
      </c>
      <c r="J17" s="12"/>
      <c r="K17" s="13"/>
      <c r="L17" s="13"/>
      <c r="M17" s="2"/>
      <c r="N17" s="2"/>
      <c r="O17" s="2"/>
      <c r="P17" s="2"/>
      <c r="Q17" s="15"/>
      <c r="R17" s="11"/>
      <c r="S17" s="11"/>
      <c r="T17" s="11"/>
    </row>
    <row r="18" spans="1:20" x14ac:dyDescent="0.15">
      <c r="A18" s="11"/>
      <c r="B18" s="11"/>
      <c r="C18" s="11">
        <f t="shared" si="0"/>
        <v>13</v>
      </c>
      <c r="D18" s="30" t="str">
        <f>INDEX(Data!$B$1:$B$26,MATCH(D17,Data!$B$1:$B$26,0)+1,1)</f>
        <v>F</v>
      </c>
      <c r="E18" s="32" t="str">
        <f>INDEX(Data!$B$1:$B$26,MATCH(E17,Data!$B$1:$B$26,0)+1,1)</f>
        <v>Bb</v>
      </c>
      <c r="F18" s="32" t="str">
        <f>INDEX(Data!$B$1:$B$26,MATCH(F17,Data!$B$1:$B$26,0)+1,1)</f>
        <v>Eb</v>
      </c>
      <c r="G18" s="32" t="str">
        <f>INDEX(Data!$B$1:$B$26,MATCH(G17,Data!$B$1:$B$26,0)+1,1)</f>
        <v>G#</v>
      </c>
      <c r="H18" s="38" t="str">
        <f>INDEX(Data!$B$1:$B$26,MATCH(H17,Data!$B$1:$B$26,0)+1,1)</f>
        <v>C</v>
      </c>
      <c r="I18" s="35" t="str">
        <f>INDEX(Data!$B$1:$B$26,MATCH(I17,Data!$B$1:$B$26,0)+1,1)</f>
        <v>F</v>
      </c>
      <c r="J18" s="12"/>
      <c r="K18" s="13"/>
      <c r="M18" s="2"/>
      <c r="N18" s="2"/>
      <c r="O18" s="2"/>
      <c r="P18" s="2"/>
      <c r="Q18" s="2"/>
    </row>
    <row r="19" spans="1:20" x14ac:dyDescent="0.15">
      <c r="A19" s="11"/>
      <c r="B19" s="11"/>
      <c r="C19" s="11">
        <f t="shared" si="0"/>
        <v>14</v>
      </c>
      <c r="D19" s="30" t="str">
        <f>INDEX(Data!$B$1:$B$26,MATCH(D18,Data!$B$1:$B$26,0)+1,1)</f>
        <v>F#</v>
      </c>
      <c r="E19" s="32" t="str">
        <f>INDEX(Data!$B$1:$B$26,MATCH(E18,Data!$B$1:$B$26,0)+1,1)</f>
        <v>B</v>
      </c>
      <c r="F19" s="38" t="str">
        <f>INDEX(Data!$B$1:$B$26,MATCH(F18,Data!$B$1:$B$26,0)+1,1)</f>
        <v>E</v>
      </c>
      <c r="G19" s="32" t="str">
        <f>INDEX(Data!$B$1:$B$26,MATCH(G18,Data!$B$1:$B$26,0)+1,1)</f>
        <v>A</v>
      </c>
      <c r="H19" s="32" t="str">
        <f>INDEX(Data!$B$1:$B$26,MATCH(H18,Data!$B$1:$B$26,0)+1,1)</f>
        <v>C#</v>
      </c>
      <c r="I19" s="35" t="str">
        <f>INDEX(Data!$B$1:$B$26,MATCH(I18,Data!$B$1:$B$26,0)+1,1)</f>
        <v>F#</v>
      </c>
      <c r="J19" s="12"/>
      <c r="K19" s="13"/>
      <c r="M19" s="2"/>
      <c r="N19" s="2"/>
      <c r="O19" s="2"/>
      <c r="P19" s="2"/>
    </row>
    <row r="20" spans="1:20" x14ac:dyDescent="0.15">
      <c r="A20" s="11"/>
      <c r="B20" s="11"/>
      <c r="C20" s="11">
        <f t="shared" si="0"/>
        <v>15</v>
      </c>
      <c r="D20" s="36" t="str">
        <f>INDEX(Data!$B$1:$B$26,MATCH(D19,Data!$B$1:$B$26,0)+1,1)</f>
        <v>G</v>
      </c>
      <c r="E20" s="38" t="str">
        <f>INDEX(Data!$B$1:$B$26,MATCH(E19,Data!$B$1:$B$26,0)+1,1)</f>
        <v>C</v>
      </c>
      <c r="F20" s="32" t="str">
        <f>INDEX(Data!$B$1:$B$26,MATCH(F19,Data!$B$1:$B$26,0)+1,1)</f>
        <v>F</v>
      </c>
      <c r="G20" s="32" t="str">
        <f>INDEX(Data!$B$1:$B$26,MATCH(G19,Data!$B$1:$B$26,0)+1,1)</f>
        <v>Bb</v>
      </c>
      <c r="H20" s="32" t="str">
        <f>INDEX(Data!$B$1:$B$26,MATCH(H19,Data!$B$1:$B$26,0)+1,1)</f>
        <v>D</v>
      </c>
      <c r="I20" s="39" t="str">
        <f>INDEX(Data!$B$1:$B$26,MATCH(I19,Data!$B$1:$B$26,0)+1,1)</f>
        <v>G</v>
      </c>
      <c r="J20" s="12"/>
      <c r="K20" s="13"/>
      <c r="M20" s="2"/>
      <c r="N20" s="2"/>
      <c r="O20" s="2"/>
      <c r="P20" s="2"/>
    </row>
    <row r="21" spans="1:20" x14ac:dyDescent="0.15">
      <c r="A21" s="11"/>
      <c r="B21" s="11"/>
      <c r="C21" s="11">
        <f t="shared" si="0"/>
        <v>16</v>
      </c>
      <c r="D21" s="30" t="str">
        <f>INDEX(Data!$B$1:$B$26,MATCH(D20,Data!$B$1:$B$26,0)+1,1)</f>
        <v>G#</v>
      </c>
      <c r="E21" s="32" t="str">
        <f>INDEX(Data!$B$1:$B$26,MATCH(E20,Data!$B$1:$B$26,0)+1,1)</f>
        <v>C#</v>
      </c>
      <c r="F21" s="32" t="str">
        <f>INDEX(Data!$B$1:$B$26,MATCH(F20,Data!$B$1:$B$26,0)+1,1)</f>
        <v>F#</v>
      </c>
      <c r="G21" s="32" t="str">
        <f>INDEX(Data!$B$1:$B$26,MATCH(G20,Data!$B$1:$B$26,0)+1,1)</f>
        <v>B</v>
      </c>
      <c r="H21" s="32" t="str">
        <f>INDEX(Data!$B$1:$B$26,MATCH(H20,Data!$B$1:$B$26,0)+1,1)</f>
        <v>Eb</v>
      </c>
      <c r="I21" s="35" t="str">
        <f>INDEX(Data!$B$1:$B$26,MATCH(I20,Data!$B$1:$B$26,0)+1,1)</f>
        <v>G#</v>
      </c>
      <c r="J21" s="12"/>
      <c r="K21" s="13"/>
      <c r="M21" s="2"/>
      <c r="N21" s="2"/>
      <c r="O21" s="2"/>
      <c r="P21" s="2"/>
    </row>
    <row r="22" spans="1:20" x14ac:dyDescent="0.15">
      <c r="A22" s="11"/>
      <c r="B22" s="11"/>
      <c r="C22" s="11">
        <v>17</v>
      </c>
      <c r="D22" s="30" t="str">
        <f>INDEX(Data!$B$1:$B$26,MATCH(D21,Data!$B$1:$B$26,0)+1,1)</f>
        <v>A</v>
      </c>
      <c r="E22" s="32" t="str">
        <f>INDEX(Data!$B$1:$B$26,MATCH(E21,Data!$B$1:$B$26,0)+1,1)</f>
        <v>D</v>
      </c>
      <c r="F22" s="38" t="str">
        <f>INDEX(Data!$B$1:$B$26,MATCH(F21,Data!$B$1:$B$26,0)+1,1)</f>
        <v>G</v>
      </c>
      <c r="G22" s="38" t="str">
        <f>INDEX(Data!$B$1:$B$26,MATCH(G21,Data!$B$1:$B$26,0)+1,1)</f>
        <v>C</v>
      </c>
      <c r="H22" s="38" t="str">
        <f>INDEX(Data!$B$1:$B$26,MATCH(H21,Data!$B$1:$B$26,0)+1,1)</f>
        <v>E</v>
      </c>
      <c r="I22" s="35" t="str">
        <f>INDEX(Data!$B$1:$B$26,MATCH(I21,Data!$B$1:$B$26,0)+1,1)</f>
        <v>A</v>
      </c>
      <c r="J22" s="11"/>
      <c r="K22" s="2"/>
      <c r="L22" s="2"/>
      <c r="M22" s="2"/>
      <c r="N22" s="2"/>
      <c r="O22" s="2"/>
      <c r="P22" s="2"/>
    </row>
    <row r="23" spans="1:20" x14ac:dyDescent="0.15">
      <c r="A23" s="11"/>
      <c r="B23" s="11"/>
      <c r="C23" s="11">
        <v>18</v>
      </c>
      <c r="D23" s="42" t="str">
        <f>INDEX(Data!$B$1:$B$26,MATCH(D22,Data!$B$1:$B$26,0)+1,1)</f>
        <v>Bb</v>
      </c>
      <c r="E23" s="33" t="str">
        <f>INDEX(Data!$B$1:$B$26,MATCH(E22,Data!$B$1:$B$26,0)+1,1)</f>
        <v>Eb</v>
      </c>
      <c r="F23" s="33" t="str">
        <f>INDEX(Data!$B$1:$B$26,MATCH(F22,Data!$B$1:$B$26,0)+1,1)</f>
        <v>G#</v>
      </c>
      <c r="G23" s="33" t="str">
        <f>INDEX(Data!$B$1:$B$26,MATCH(G22,Data!$B$1:$B$26,0)+1,1)</f>
        <v>C#</v>
      </c>
      <c r="H23" s="33" t="str">
        <f>INDEX(Data!$B$1:$B$26,MATCH(H22,Data!$B$1:$B$26,0)+1,1)</f>
        <v>F</v>
      </c>
      <c r="I23" s="43" t="str">
        <f>INDEX(Data!$B$1:$B$26,MATCH(I22,Data!$B$1:$B$26,0)+1,1)</f>
        <v>Bb</v>
      </c>
      <c r="J23" s="11"/>
      <c r="K23" s="2"/>
      <c r="L23" s="2"/>
      <c r="M23" s="2"/>
      <c r="N23" s="2"/>
      <c r="O23" s="2"/>
    </row>
    <row r="24" spans="1:20" x14ac:dyDescent="0.15">
      <c r="A24" s="11"/>
      <c r="B24" s="11"/>
      <c r="C24" s="11"/>
      <c r="D24" s="20"/>
      <c r="E24" s="20"/>
      <c r="F24" s="20"/>
      <c r="G24" s="20"/>
      <c r="H24" s="20"/>
      <c r="I24" s="20"/>
      <c r="J24" s="11"/>
      <c r="O24" s="2"/>
    </row>
  </sheetData>
  <sheetProtection algorithmName="SHA-512" hashValue="IhRIM6ANPV/gfh0ymwhMFVoxRgbjcgnU/QsKYD+Wb3hNmUajX0IOG8DTyy6eBRGDpo6Vld6p7L9lTs0421CVfw==" saltValue="HDvUXE+ox+j9ZWCAm4+d9g==" spinCount="100000" sheet="1" objects="1" scenarios="1" selectLockedCells="1" selectUnlockedCells="1"/>
  <mergeCells count="2">
    <mergeCell ref="K7:L7"/>
    <mergeCell ref="K9:L9"/>
  </mergeCells>
  <conditionalFormatting sqref="L14:O14">
    <cfRule type="expression" dxfId="1" priority="2">
      <formula>L14&lt;&gt;""</formula>
    </cfRule>
  </conditionalFormatting>
  <conditionalFormatting sqref="P14">
    <cfRule type="expression" dxfId="0" priority="1">
      <formula>P14&lt;&gt;""</formula>
    </cfRule>
  </conditionalFormatting>
  <pageMargins left="0.70866141732283472" right="0.70866141732283472" top="0.74803149606299213" bottom="0.74803149606299213" header="0.31496062992125984" footer="0.31496062992125984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Drop Down 6">
              <controlPr defaultSize="0" autoLine="0" autoPict="0" macro="[0]!Tuning_Change">
                <anchor moveWithCells="1">
                  <from>
                    <xdr:col>2</xdr:col>
                    <xdr:colOff>19050</xdr:colOff>
                    <xdr:row>0</xdr:row>
                    <xdr:rowOff>133350</xdr:rowOff>
                  </from>
                  <to>
                    <xdr:col>11</xdr:col>
                    <xdr:colOff>190500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Drop Down 7">
              <controlPr defaultSize="0" autoLine="0" autoPict="0" macro="[0]!ChordRootChange">
                <anchor moveWithCells="1">
                  <from>
                    <xdr:col>12</xdr:col>
                    <xdr:colOff>28575</xdr:colOff>
                    <xdr:row>5</xdr:row>
                    <xdr:rowOff>123825</xdr:rowOff>
                  </from>
                  <to>
                    <xdr:col>16</xdr:col>
                    <xdr:colOff>371475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Drop Down 9">
              <controlPr defaultSize="0" autoLine="0" autoPict="0" macro="[0]!reformat">
                <anchor moveWithCells="1">
                  <from>
                    <xdr:col>12</xdr:col>
                    <xdr:colOff>28575</xdr:colOff>
                    <xdr:row>7</xdr:row>
                    <xdr:rowOff>114300</xdr:rowOff>
                  </from>
                  <to>
                    <xdr:col>16</xdr:col>
                    <xdr:colOff>371475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3"/>
  <sheetViews>
    <sheetView zoomScale="130" zoomScaleNormal="130" workbookViewId="0">
      <selection activeCell="G5" sqref="G5"/>
    </sheetView>
  </sheetViews>
  <sheetFormatPr defaultRowHeight="15" x14ac:dyDescent="0.25"/>
  <cols>
    <col min="4" max="4" width="7.85546875" bestFit="1" customWidth="1"/>
    <col min="5" max="5" width="15.28515625" bestFit="1" customWidth="1"/>
    <col min="7" max="7" width="27.5703125" bestFit="1" customWidth="1"/>
    <col min="8" max="13" width="4.140625" customWidth="1"/>
    <col min="14" max="14" width="9.7109375" customWidth="1"/>
    <col min="16" max="16" width="11.42578125" bestFit="1" customWidth="1"/>
    <col min="23" max="23" width="11.28515625" bestFit="1" customWidth="1"/>
  </cols>
  <sheetData>
    <row r="1" spans="1:26" x14ac:dyDescent="0.25">
      <c r="A1" s="3" t="s">
        <v>21</v>
      </c>
      <c r="B1" s="3" t="s">
        <v>22</v>
      </c>
      <c r="D1" s="3" t="s">
        <v>23</v>
      </c>
      <c r="E1" s="3" t="s">
        <v>24</v>
      </c>
      <c r="G1" s="3" t="s">
        <v>36</v>
      </c>
      <c r="H1" s="3" t="s">
        <v>30</v>
      </c>
      <c r="I1" s="3" t="s">
        <v>31</v>
      </c>
      <c r="J1" s="3" t="s">
        <v>32</v>
      </c>
      <c r="K1" s="3" t="s">
        <v>33</v>
      </c>
      <c r="L1" s="3" t="s">
        <v>34</v>
      </c>
      <c r="M1" s="3" t="s">
        <v>35</v>
      </c>
      <c r="N1" s="8"/>
      <c r="O1" s="3" t="s">
        <v>46</v>
      </c>
      <c r="P1" s="3" t="s">
        <v>39</v>
      </c>
      <c r="Q1" s="7">
        <v>1</v>
      </c>
      <c r="R1" s="7">
        <v>2</v>
      </c>
      <c r="S1" s="7">
        <v>3</v>
      </c>
      <c r="T1" s="7">
        <v>4</v>
      </c>
      <c r="U1" s="7">
        <v>5</v>
      </c>
      <c r="W1" s="7" t="s">
        <v>86</v>
      </c>
      <c r="X1" s="7" t="s">
        <v>89</v>
      </c>
      <c r="Y1" s="7" t="s">
        <v>6</v>
      </c>
      <c r="Z1" s="7" t="s">
        <v>10</v>
      </c>
    </row>
    <row r="2" spans="1:26" x14ac:dyDescent="0.25">
      <c r="A2" s="4">
        <f>ROW()-1</f>
        <v>1</v>
      </c>
      <c r="B2" s="4" t="s">
        <v>0</v>
      </c>
      <c r="D2" s="4">
        <v>1</v>
      </c>
      <c r="E2" s="4">
        <f>ROW()-1</f>
        <v>1</v>
      </c>
      <c r="G2" s="5" t="s">
        <v>27</v>
      </c>
      <c r="H2" s="5" t="s">
        <v>11</v>
      </c>
      <c r="I2" s="5" t="s">
        <v>8</v>
      </c>
      <c r="J2" s="5" t="s">
        <v>2</v>
      </c>
      <c r="K2" s="5" t="s">
        <v>6</v>
      </c>
      <c r="L2" s="5" t="s">
        <v>10</v>
      </c>
      <c r="M2" s="5" t="s">
        <v>11</v>
      </c>
      <c r="N2" s="8"/>
      <c r="O2" s="4">
        <v>1</v>
      </c>
      <c r="P2" s="4" t="s">
        <v>40</v>
      </c>
      <c r="Q2" s="4">
        <v>1</v>
      </c>
      <c r="R2" s="4">
        <v>5</v>
      </c>
      <c r="S2" s="4">
        <v>8</v>
      </c>
      <c r="T2" s="4"/>
      <c r="U2" s="4"/>
      <c r="W2" s="4" t="s">
        <v>87</v>
      </c>
      <c r="X2" s="4">
        <v>120</v>
      </c>
      <c r="Y2" s="4">
        <v>220</v>
      </c>
      <c r="Z2" s="4">
        <v>179</v>
      </c>
    </row>
    <row r="3" spans="1:26" x14ac:dyDescent="0.25">
      <c r="A3" s="4">
        <f t="shared" ref="A3:A26" si="0">ROW()-1</f>
        <v>2</v>
      </c>
      <c r="B3" s="4" t="s">
        <v>1</v>
      </c>
      <c r="D3" s="4" t="s">
        <v>12</v>
      </c>
      <c r="E3" s="4">
        <f t="shared" ref="E3:E23" si="1">ROW()-1</f>
        <v>2</v>
      </c>
      <c r="G3" s="6" t="s">
        <v>67</v>
      </c>
      <c r="H3" s="6" t="s">
        <v>8</v>
      </c>
      <c r="I3" s="6" t="s">
        <v>0</v>
      </c>
      <c r="J3" s="6" t="s">
        <v>2</v>
      </c>
      <c r="K3" s="6" t="s">
        <v>11</v>
      </c>
      <c r="L3" s="6" t="s">
        <v>6</v>
      </c>
      <c r="M3" s="6" t="s">
        <v>8</v>
      </c>
      <c r="N3" s="8"/>
      <c r="O3" s="4">
        <v>2</v>
      </c>
      <c r="P3" s="4" t="s">
        <v>41</v>
      </c>
      <c r="Q3" s="4">
        <v>1</v>
      </c>
      <c r="R3" s="4">
        <v>4</v>
      </c>
      <c r="S3" s="4">
        <v>8</v>
      </c>
      <c r="T3" s="4"/>
      <c r="U3" s="4"/>
      <c r="W3" s="4" t="s">
        <v>88</v>
      </c>
      <c r="X3" s="4">
        <v>1</v>
      </c>
      <c r="Y3" s="4">
        <v>240</v>
      </c>
      <c r="Z3" s="4">
        <v>10</v>
      </c>
    </row>
    <row r="4" spans="1:26" x14ac:dyDescent="0.25">
      <c r="A4" s="4">
        <f t="shared" si="0"/>
        <v>3</v>
      </c>
      <c r="B4" s="4" t="s">
        <v>2</v>
      </c>
      <c r="D4" s="4">
        <v>2</v>
      </c>
      <c r="E4" s="4">
        <f t="shared" si="1"/>
        <v>3</v>
      </c>
      <c r="G4" s="6" t="s">
        <v>117</v>
      </c>
      <c r="H4" s="6" t="s">
        <v>10</v>
      </c>
      <c r="I4" s="6" t="s">
        <v>8</v>
      </c>
      <c r="J4" s="6" t="s">
        <v>2</v>
      </c>
      <c r="K4" s="6" t="s">
        <v>6</v>
      </c>
      <c r="L4" s="6" t="s">
        <v>10</v>
      </c>
      <c r="M4" s="6" t="s">
        <v>11</v>
      </c>
      <c r="N4" s="8"/>
      <c r="O4" s="4">
        <v>3</v>
      </c>
      <c r="P4" s="6" t="s">
        <v>93</v>
      </c>
      <c r="Q4" s="4">
        <v>1</v>
      </c>
      <c r="R4" s="4">
        <v>3</v>
      </c>
      <c r="S4" s="4">
        <v>8</v>
      </c>
      <c r="T4" s="4"/>
      <c r="U4" s="4"/>
    </row>
    <row r="5" spans="1:26" x14ac:dyDescent="0.25">
      <c r="A5" s="4">
        <f t="shared" si="0"/>
        <v>4</v>
      </c>
      <c r="B5" s="4" t="s">
        <v>3</v>
      </c>
      <c r="D5" s="4" t="s">
        <v>14</v>
      </c>
      <c r="E5" s="4">
        <f t="shared" si="1"/>
        <v>4</v>
      </c>
      <c r="G5" s="4" t="s">
        <v>51</v>
      </c>
      <c r="H5" s="4" t="s">
        <v>10</v>
      </c>
      <c r="I5" s="4" t="s">
        <v>11</v>
      </c>
      <c r="J5" s="4" t="s">
        <v>8</v>
      </c>
      <c r="K5" s="4" t="s">
        <v>2</v>
      </c>
      <c r="L5" s="4" t="s">
        <v>5</v>
      </c>
      <c r="M5" s="4" t="s">
        <v>10</v>
      </c>
      <c r="N5" s="8"/>
      <c r="O5" s="4">
        <v>4</v>
      </c>
      <c r="P5" s="4" t="s">
        <v>42</v>
      </c>
      <c r="Q5" s="4">
        <v>1</v>
      </c>
      <c r="R5" s="4">
        <v>6</v>
      </c>
      <c r="S5" s="4">
        <v>8</v>
      </c>
      <c r="T5" s="4"/>
      <c r="U5" s="4"/>
    </row>
    <row r="6" spans="1:26" x14ac:dyDescent="0.25">
      <c r="A6" s="4">
        <f t="shared" si="0"/>
        <v>5</v>
      </c>
      <c r="B6" s="4" t="s">
        <v>11</v>
      </c>
      <c r="D6" s="4">
        <v>3</v>
      </c>
      <c r="E6" s="4">
        <f t="shared" si="1"/>
        <v>5</v>
      </c>
      <c r="G6" s="6" t="s">
        <v>66</v>
      </c>
      <c r="H6" s="6" t="s">
        <v>0</v>
      </c>
      <c r="I6" s="6" t="s">
        <v>11</v>
      </c>
      <c r="J6" s="6" t="s">
        <v>6</v>
      </c>
      <c r="K6" s="6" t="s">
        <v>9</v>
      </c>
      <c r="L6" s="6" t="s">
        <v>0</v>
      </c>
      <c r="M6" s="6" t="s">
        <v>2</v>
      </c>
      <c r="N6" s="8"/>
      <c r="O6" s="4">
        <v>5</v>
      </c>
      <c r="P6" s="4" t="s">
        <v>92</v>
      </c>
      <c r="Q6" s="4">
        <v>1</v>
      </c>
      <c r="R6" s="4">
        <v>4</v>
      </c>
      <c r="S6" s="4">
        <v>7</v>
      </c>
      <c r="T6" s="4"/>
      <c r="U6" s="4"/>
    </row>
    <row r="7" spans="1:26" x14ac:dyDescent="0.25">
      <c r="A7" s="4">
        <f t="shared" si="0"/>
        <v>6</v>
      </c>
      <c r="B7" s="4" t="s">
        <v>4</v>
      </c>
      <c r="D7" s="4">
        <v>4</v>
      </c>
      <c r="E7" s="4">
        <f t="shared" si="1"/>
        <v>6</v>
      </c>
      <c r="G7" s="6" t="s">
        <v>69</v>
      </c>
      <c r="H7" s="6" t="s">
        <v>0</v>
      </c>
      <c r="I7" s="6" t="s">
        <v>11</v>
      </c>
      <c r="J7" s="6" t="s">
        <v>7</v>
      </c>
      <c r="K7" s="6" t="s">
        <v>0</v>
      </c>
      <c r="L7" s="6" t="s">
        <v>8</v>
      </c>
      <c r="M7" s="6" t="s">
        <v>7</v>
      </c>
      <c r="N7" s="8"/>
      <c r="O7" s="4">
        <v>6</v>
      </c>
      <c r="P7" s="4" t="s">
        <v>91</v>
      </c>
      <c r="Q7" s="4">
        <v>1</v>
      </c>
      <c r="R7" s="4">
        <v>5</v>
      </c>
      <c r="S7" s="4">
        <v>9</v>
      </c>
      <c r="T7" s="4"/>
      <c r="U7" s="4"/>
    </row>
    <row r="8" spans="1:26" x14ac:dyDescent="0.25">
      <c r="A8" s="4">
        <f t="shared" si="0"/>
        <v>7</v>
      </c>
      <c r="B8" s="4" t="s">
        <v>5</v>
      </c>
      <c r="D8" s="4" t="s">
        <v>13</v>
      </c>
      <c r="E8" s="4">
        <f t="shared" si="1"/>
        <v>7</v>
      </c>
      <c r="G8" s="49" t="s">
        <v>68</v>
      </c>
      <c r="H8" s="49" t="s">
        <v>0</v>
      </c>
      <c r="I8" s="49" t="s">
        <v>3</v>
      </c>
      <c r="J8" s="49" t="s">
        <v>5</v>
      </c>
      <c r="K8" s="49" t="s">
        <v>8</v>
      </c>
      <c r="L8" s="49" t="s">
        <v>0</v>
      </c>
      <c r="M8" s="49" t="s">
        <v>83</v>
      </c>
      <c r="N8" s="8"/>
      <c r="O8" s="4">
        <v>7</v>
      </c>
      <c r="P8" s="4">
        <v>5</v>
      </c>
      <c r="Q8" s="4">
        <v>1</v>
      </c>
      <c r="R8" s="4">
        <v>8</v>
      </c>
      <c r="S8" s="4"/>
      <c r="T8" s="4"/>
      <c r="U8" s="4"/>
    </row>
    <row r="9" spans="1:26" x14ac:dyDescent="0.25">
      <c r="A9" s="4">
        <f t="shared" si="0"/>
        <v>8</v>
      </c>
      <c r="B9" s="4" t="s">
        <v>6</v>
      </c>
      <c r="D9" s="4">
        <v>5</v>
      </c>
      <c r="E9" s="4">
        <f t="shared" si="1"/>
        <v>8</v>
      </c>
      <c r="G9" s="49" t="s">
        <v>29</v>
      </c>
      <c r="H9" s="49" t="s">
        <v>0</v>
      </c>
      <c r="I9" s="49" t="s">
        <v>4</v>
      </c>
      <c r="J9" s="49" t="s">
        <v>0</v>
      </c>
      <c r="K9" s="49" t="s">
        <v>6</v>
      </c>
      <c r="L9" s="49" t="s">
        <v>9</v>
      </c>
      <c r="M9" s="49" t="s">
        <v>4</v>
      </c>
      <c r="N9" s="8"/>
      <c r="O9" s="9">
        <v>8</v>
      </c>
      <c r="P9">
        <v>6</v>
      </c>
      <c r="Q9" s="9">
        <v>1</v>
      </c>
      <c r="R9" s="9">
        <v>5</v>
      </c>
      <c r="S9" s="9">
        <v>8</v>
      </c>
      <c r="T9" s="9">
        <v>10</v>
      </c>
      <c r="U9" s="4"/>
    </row>
    <row r="10" spans="1:26" x14ac:dyDescent="0.25">
      <c r="A10" s="4">
        <f t="shared" si="0"/>
        <v>9</v>
      </c>
      <c r="B10" s="4" t="s">
        <v>7</v>
      </c>
      <c r="D10" s="4" t="s">
        <v>15</v>
      </c>
      <c r="E10" s="4">
        <f t="shared" si="1"/>
        <v>9</v>
      </c>
      <c r="G10" s="49" t="s">
        <v>78</v>
      </c>
      <c r="H10" s="49" t="s">
        <v>0</v>
      </c>
      <c r="I10" s="49" t="s">
        <v>4</v>
      </c>
      <c r="J10" s="49" t="s">
        <v>0</v>
      </c>
      <c r="K10" s="49" t="s">
        <v>6</v>
      </c>
      <c r="L10" s="49" t="s">
        <v>0</v>
      </c>
      <c r="M10" s="49" t="s">
        <v>2</v>
      </c>
      <c r="N10" s="8"/>
      <c r="O10" s="4">
        <v>9</v>
      </c>
      <c r="P10" s="4" t="s">
        <v>85</v>
      </c>
      <c r="Q10" s="4">
        <v>1</v>
      </c>
      <c r="R10" s="4">
        <v>5</v>
      </c>
      <c r="S10" s="4">
        <v>8</v>
      </c>
      <c r="T10" s="4">
        <v>11</v>
      </c>
      <c r="U10" s="4"/>
    </row>
    <row r="11" spans="1:26" x14ac:dyDescent="0.25">
      <c r="A11" s="4">
        <f t="shared" si="0"/>
        <v>10</v>
      </c>
      <c r="B11" s="4" t="s">
        <v>8</v>
      </c>
      <c r="D11" s="4">
        <v>6</v>
      </c>
      <c r="E11" s="4">
        <f t="shared" si="1"/>
        <v>10</v>
      </c>
      <c r="G11" s="49" t="s">
        <v>71</v>
      </c>
      <c r="H11" s="49" t="s">
        <v>0</v>
      </c>
      <c r="I11" s="49" t="s">
        <v>5</v>
      </c>
      <c r="J11" s="49" t="s">
        <v>0</v>
      </c>
      <c r="K11" s="49" t="s">
        <v>5</v>
      </c>
      <c r="L11" s="49" t="s">
        <v>0</v>
      </c>
      <c r="M11" s="49" t="s">
        <v>5</v>
      </c>
      <c r="N11" s="8"/>
      <c r="O11" s="4">
        <v>10</v>
      </c>
      <c r="P11" s="4" t="s">
        <v>43</v>
      </c>
      <c r="Q11" s="4">
        <v>1</v>
      </c>
      <c r="R11" s="4">
        <v>5</v>
      </c>
      <c r="S11" s="4">
        <v>8</v>
      </c>
      <c r="T11" s="4">
        <v>12</v>
      </c>
      <c r="U11" s="4"/>
    </row>
    <row r="12" spans="1:26" x14ac:dyDescent="0.25">
      <c r="A12" s="4">
        <f t="shared" si="0"/>
        <v>11</v>
      </c>
      <c r="B12" s="4" t="s">
        <v>9</v>
      </c>
      <c r="D12" s="4">
        <v>7</v>
      </c>
      <c r="E12" s="4">
        <f t="shared" si="1"/>
        <v>11</v>
      </c>
      <c r="G12" s="50" t="s">
        <v>50</v>
      </c>
      <c r="H12" s="50" t="s">
        <v>0</v>
      </c>
      <c r="I12" s="50" t="s">
        <v>6</v>
      </c>
      <c r="J12" s="50" t="s">
        <v>0</v>
      </c>
      <c r="K12" s="50" t="s">
        <v>2</v>
      </c>
      <c r="L12" s="50" t="s">
        <v>11</v>
      </c>
      <c r="M12" s="50" t="s">
        <v>6</v>
      </c>
      <c r="N12" s="8"/>
      <c r="O12" s="4">
        <v>11</v>
      </c>
      <c r="P12" s="4" t="s">
        <v>44</v>
      </c>
      <c r="Q12" s="4">
        <v>1</v>
      </c>
      <c r="R12" s="4">
        <v>4</v>
      </c>
      <c r="S12" s="4">
        <v>8</v>
      </c>
      <c r="T12" s="4">
        <v>11</v>
      </c>
      <c r="U12" s="4"/>
    </row>
    <row r="13" spans="1:26" x14ac:dyDescent="0.25">
      <c r="A13" s="4">
        <f t="shared" si="0"/>
        <v>12</v>
      </c>
      <c r="B13" s="4" t="s">
        <v>10</v>
      </c>
      <c r="D13" s="4" t="s">
        <v>16</v>
      </c>
      <c r="E13" s="4">
        <f t="shared" si="1"/>
        <v>12</v>
      </c>
      <c r="G13" s="50" t="s">
        <v>95</v>
      </c>
      <c r="H13" s="50" t="s">
        <v>0</v>
      </c>
      <c r="I13" s="50" t="s">
        <v>6</v>
      </c>
      <c r="J13" s="50" t="s">
        <v>0</v>
      </c>
      <c r="K13" s="50" t="s">
        <v>4</v>
      </c>
      <c r="L13" s="50" t="s">
        <v>8</v>
      </c>
      <c r="M13" s="50" t="s">
        <v>0</v>
      </c>
      <c r="N13" s="8"/>
      <c r="O13" s="4">
        <v>12</v>
      </c>
      <c r="P13" s="4" t="s">
        <v>84</v>
      </c>
      <c r="Q13" s="4">
        <v>1</v>
      </c>
      <c r="R13" s="4">
        <v>5</v>
      </c>
      <c r="S13" s="4">
        <v>8</v>
      </c>
      <c r="T13" s="4">
        <v>11</v>
      </c>
      <c r="U13" s="4">
        <v>15</v>
      </c>
    </row>
    <row r="14" spans="1:26" x14ac:dyDescent="0.25">
      <c r="A14" s="4">
        <f t="shared" si="0"/>
        <v>13</v>
      </c>
      <c r="B14" s="4" t="s">
        <v>0</v>
      </c>
      <c r="D14" s="4">
        <v>8</v>
      </c>
      <c r="E14" s="4">
        <f t="shared" si="1"/>
        <v>13</v>
      </c>
      <c r="G14" s="50" t="s">
        <v>53</v>
      </c>
      <c r="H14" s="50" t="s">
        <v>0</v>
      </c>
      <c r="I14" s="50" t="s">
        <v>6</v>
      </c>
      <c r="J14" s="50" t="s">
        <v>0</v>
      </c>
      <c r="K14" s="50" t="s">
        <v>4</v>
      </c>
      <c r="L14" s="50" t="s">
        <v>8</v>
      </c>
      <c r="M14" s="50" t="s">
        <v>2</v>
      </c>
      <c r="N14" s="8"/>
      <c r="O14" s="4">
        <v>13</v>
      </c>
      <c r="P14" s="4" t="s">
        <v>90</v>
      </c>
      <c r="Q14" s="4">
        <v>1</v>
      </c>
      <c r="R14" s="4">
        <v>5</v>
      </c>
      <c r="S14" s="4">
        <v>8</v>
      </c>
      <c r="T14" s="4">
        <v>15</v>
      </c>
      <c r="U14" s="4"/>
    </row>
    <row r="15" spans="1:26" x14ac:dyDescent="0.25">
      <c r="A15" s="4">
        <f t="shared" si="0"/>
        <v>14</v>
      </c>
      <c r="B15" s="4" t="s">
        <v>1</v>
      </c>
      <c r="D15" s="4" t="s">
        <v>17</v>
      </c>
      <c r="E15" s="4">
        <f t="shared" si="1"/>
        <v>14</v>
      </c>
      <c r="G15" s="50" t="s">
        <v>96</v>
      </c>
      <c r="H15" s="50" t="s">
        <v>0</v>
      </c>
      <c r="I15" s="50" t="s">
        <v>6</v>
      </c>
      <c r="J15" s="50" t="s">
        <v>0</v>
      </c>
      <c r="K15" s="50" t="s">
        <v>4</v>
      </c>
      <c r="L15" s="50" t="s">
        <v>0</v>
      </c>
      <c r="M15" s="50" t="s">
        <v>11</v>
      </c>
      <c r="N15" s="8"/>
      <c r="O15" s="4">
        <v>14</v>
      </c>
      <c r="P15" s="4" t="s">
        <v>114</v>
      </c>
      <c r="Q15" s="4">
        <v>1</v>
      </c>
      <c r="R15" s="4">
        <v>5</v>
      </c>
      <c r="S15" s="4">
        <v>8</v>
      </c>
      <c r="T15" s="4">
        <v>12</v>
      </c>
      <c r="U15" s="4">
        <v>15</v>
      </c>
    </row>
    <row r="16" spans="1:26" x14ac:dyDescent="0.25">
      <c r="A16" s="4">
        <f t="shared" si="0"/>
        <v>15</v>
      </c>
      <c r="B16" s="4" t="s">
        <v>2</v>
      </c>
      <c r="D16" s="4">
        <v>9</v>
      </c>
      <c r="E16" s="4">
        <f t="shared" si="1"/>
        <v>15</v>
      </c>
      <c r="G16" s="50" t="s">
        <v>55</v>
      </c>
      <c r="H16" s="50" t="s">
        <v>0</v>
      </c>
      <c r="I16" s="50" t="s">
        <v>6</v>
      </c>
      <c r="J16" s="50" t="s">
        <v>0</v>
      </c>
      <c r="K16" s="50" t="s">
        <v>6</v>
      </c>
      <c r="L16" s="50" t="s">
        <v>0</v>
      </c>
      <c r="M16" s="50" t="s">
        <v>0</v>
      </c>
      <c r="N16" s="8"/>
      <c r="O16" s="44"/>
      <c r="P16" s="44"/>
      <c r="Q16" s="44"/>
      <c r="R16" s="44"/>
      <c r="S16" s="44"/>
      <c r="T16" s="44"/>
      <c r="U16" s="44"/>
    </row>
    <row r="17" spans="1:21" ht="18" x14ac:dyDescent="0.25">
      <c r="A17" s="4">
        <f t="shared" si="0"/>
        <v>16</v>
      </c>
      <c r="B17" s="4" t="s">
        <v>3</v>
      </c>
      <c r="D17" s="4" t="s">
        <v>18</v>
      </c>
      <c r="E17" s="4">
        <f t="shared" si="1"/>
        <v>16</v>
      </c>
      <c r="G17" s="51" t="s">
        <v>54</v>
      </c>
      <c r="H17" s="50" t="s">
        <v>0</v>
      </c>
      <c r="I17" s="50" t="s">
        <v>6</v>
      </c>
      <c r="J17" s="50" t="s">
        <v>0</v>
      </c>
      <c r="K17" s="50" t="s">
        <v>6</v>
      </c>
      <c r="L17" s="50" t="s">
        <v>0</v>
      </c>
      <c r="M17" s="50" t="s">
        <v>11</v>
      </c>
      <c r="N17" s="8"/>
      <c r="O17" s="45"/>
      <c r="P17" s="45"/>
      <c r="Q17" s="45"/>
      <c r="R17" s="45"/>
      <c r="S17" s="45"/>
      <c r="T17" s="45"/>
      <c r="U17" s="45"/>
    </row>
    <row r="18" spans="1:21" x14ac:dyDescent="0.25">
      <c r="A18" s="4">
        <f t="shared" si="0"/>
        <v>17</v>
      </c>
      <c r="B18" s="4" t="s">
        <v>11</v>
      </c>
      <c r="D18" s="4">
        <v>10</v>
      </c>
      <c r="E18" s="4">
        <f t="shared" si="1"/>
        <v>17</v>
      </c>
      <c r="G18" s="50" t="s">
        <v>58</v>
      </c>
      <c r="H18" s="50" t="s">
        <v>0</v>
      </c>
      <c r="I18" s="50" t="s">
        <v>6</v>
      </c>
      <c r="J18" s="50" t="s">
        <v>0</v>
      </c>
      <c r="K18" s="50" t="s">
        <v>6</v>
      </c>
      <c r="L18" s="50" t="s">
        <v>0</v>
      </c>
      <c r="M18" s="50" t="s">
        <v>3</v>
      </c>
      <c r="N18" s="8"/>
    </row>
    <row r="19" spans="1:21" x14ac:dyDescent="0.25">
      <c r="A19" s="4">
        <f t="shared" si="0"/>
        <v>18</v>
      </c>
      <c r="B19" s="4" t="s">
        <v>4</v>
      </c>
      <c r="D19" s="4">
        <v>11</v>
      </c>
      <c r="E19" s="4">
        <f t="shared" si="1"/>
        <v>18</v>
      </c>
      <c r="G19" s="49" t="s">
        <v>79</v>
      </c>
      <c r="H19" s="49" t="s">
        <v>0</v>
      </c>
      <c r="I19" s="49" t="s">
        <v>6</v>
      </c>
      <c r="J19" s="49" t="s">
        <v>0</v>
      </c>
      <c r="K19" s="49" t="s">
        <v>6</v>
      </c>
      <c r="L19" s="49" t="s">
        <v>0</v>
      </c>
      <c r="M19" s="49" t="s">
        <v>6</v>
      </c>
      <c r="N19" s="8"/>
    </row>
    <row r="20" spans="1:21" x14ac:dyDescent="0.25">
      <c r="A20" s="4">
        <f t="shared" si="0"/>
        <v>19</v>
      </c>
      <c r="B20" s="4" t="s">
        <v>5</v>
      </c>
      <c r="D20" s="4" t="s">
        <v>19</v>
      </c>
      <c r="E20" s="4">
        <f t="shared" si="1"/>
        <v>19</v>
      </c>
      <c r="G20" s="49" t="s">
        <v>82</v>
      </c>
      <c r="H20" s="49" t="s">
        <v>0</v>
      </c>
      <c r="I20" s="49" t="s">
        <v>6</v>
      </c>
      <c r="J20" s="49" t="s">
        <v>2</v>
      </c>
      <c r="K20" s="49" t="s">
        <v>8</v>
      </c>
      <c r="L20" s="49" t="s">
        <v>11</v>
      </c>
      <c r="M20" s="49" t="s">
        <v>10</v>
      </c>
      <c r="N20" s="8"/>
    </row>
    <row r="21" spans="1:21" x14ac:dyDescent="0.25">
      <c r="A21" s="4">
        <f t="shared" si="0"/>
        <v>20</v>
      </c>
      <c r="B21" s="4" t="s">
        <v>6</v>
      </c>
      <c r="D21" s="4">
        <v>12</v>
      </c>
      <c r="E21" s="4">
        <f t="shared" si="1"/>
        <v>20</v>
      </c>
      <c r="G21" s="49" t="s">
        <v>76</v>
      </c>
      <c r="H21" s="49" t="s">
        <v>0</v>
      </c>
      <c r="I21" s="49" t="s">
        <v>6</v>
      </c>
      <c r="J21" s="49" t="s">
        <v>2</v>
      </c>
      <c r="K21" s="49" t="s">
        <v>3</v>
      </c>
      <c r="L21" s="49" t="s">
        <v>2</v>
      </c>
      <c r="M21" s="49" t="s">
        <v>3</v>
      </c>
      <c r="N21" s="8"/>
    </row>
    <row r="22" spans="1:21" x14ac:dyDescent="0.25">
      <c r="A22" s="4">
        <f t="shared" si="0"/>
        <v>21</v>
      </c>
      <c r="B22" s="4" t="s">
        <v>7</v>
      </c>
      <c r="D22" s="4" t="s">
        <v>20</v>
      </c>
      <c r="E22" s="4">
        <f t="shared" si="1"/>
        <v>21</v>
      </c>
      <c r="G22" s="49" t="s">
        <v>74</v>
      </c>
      <c r="H22" s="49" t="s">
        <v>0</v>
      </c>
      <c r="I22" s="49" t="s">
        <v>6</v>
      </c>
      <c r="J22" s="49" t="s">
        <v>2</v>
      </c>
      <c r="K22" s="49" t="s">
        <v>6</v>
      </c>
      <c r="L22" s="49" t="s">
        <v>8</v>
      </c>
      <c r="M22" s="49" t="s">
        <v>2</v>
      </c>
      <c r="N22" s="8"/>
    </row>
    <row r="23" spans="1:21" x14ac:dyDescent="0.25">
      <c r="A23" s="4">
        <f t="shared" si="0"/>
        <v>22</v>
      </c>
      <c r="B23" s="4" t="s">
        <v>8</v>
      </c>
      <c r="D23" s="4">
        <v>13</v>
      </c>
      <c r="E23" s="4">
        <f t="shared" si="1"/>
        <v>22</v>
      </c>
      <c r="G23" s="49" t="s">
        <v>73</v>
      </c>
      <c r="H23" s="49" t="s">
        <v>0</v>
      </c>
      <c r="I23" s="49" t="s">
        <v>6</v>
      </c>
      <c r="J23" s="49" t="s">
        <v>2</v>
      </c>
      <c r="K23" s="49" t="s">
        <v>6</v>
      </c>
      <c r="L23" s="49" t="s">
        <v>10</v>
      </c>
      <c r="M23" s="49" t="s">
        <v>0</v>
      </c>
      <c r="N23" s="8"/>
    </row>
    <row r="24" spans="1:21" x14ac:dyDescent="0.25">
      <c r="A24" s="4">
        <f t="shared" si="0"/>
        <v>23</v>
      </c>
      <c r="B24" s="4" t="s">
        <v>9</v>
      </c>
      <c r="G24" s="50" t="s">
        <v>62</v>
      </c>
      <c r="H24" s="50" t="s">
        <v>0</v>
      </c>
      <c r="I24" s="50" t="s">
        <v>6</v>
      </c>
      <c r="J24" s="50" t="s">
        <v>2</v>
      </c>
      <c r="K24" s="50" t="s">
        <v>6</v>
      </c>
      <c r="L24" s="50" t="s">
        <v>10</v>
      </c>
      <c r="M24" s="50" t="s">
        <v>2</v>
      </c>
      <c r="N24" s="8"/>
    </row>
    <row r="25" spans="1:21" x14ac:dyDescent="0.25">
      <c r="A25" s="4">
        <f t="shared" si="0"/>
        <v>24</v>
      </c>
      <c r="B25" s="4" t="s">
        <v>10</v>
      </c>
      <c r="G25" s="50" t="s">
        <v>94</v>
      </c>
      <c r="H25" s="50" t="s">
        <v>0</v>
      </c>
      <c r="I25" s="50" t="s">
        <v>6</v>
      </c>
      <c r="J25" s="50" t="s">
        <v>2</v>
      </c>
      <c r="K25" s="50" t="s">
        <v>6</v>
      </c>
      <c r="L25" s="50" t="s">
        <v>10</v>
      </c>
      <c r="M25" s="50" t="s">
        <v>11</v>
      </c>
      <c r="N25" s="8"/>
    </row>
    <row r="26" spans="1:21" x14ac:dyDescent="0.25">
      <c r="A26" s="4">
        <f t="shared" si="0"/>
        <v>25</v>
      </c>
      <c r="B26" s="4" t="s">
        <v>0</v>
      </c>
      <c r="G26" s="50" t="s">
        <v>98</v>
      </c>
      <c r="H26" s="50" t="s">
        <v>2</v>
      </c>
      <c r="I26" s="50" t="s">
        <v>8</v>
      </c>
      <c r="J26" s="50" t="s">
        <v>2</v>
      </c>
      <c r="K26" s="50" t="s">
        <v>8</v>
      </c>
      <c r="L26" s="50" t="s">
        <v>8</v>
      </c>
      <c r="M26" s="50" t="s">
        <v>2</v>
      </c>
      <c r="N26" s="8"/>
    </row>
    <row r="27" spans="1:21" x14ac:dyDescent="0.25">
      <c r="G27" s="50" t="s">
        <v>48</v>
      </c>
      <c r="H27" s="50" t="s">
        <v>2</v>
      </c>
      <c r="I27" s="50" t="s">
        <v>8</v>
      </c>
      <c r="J27" s="50" t="s">
        <v>2</v>
      </c>
      <c r="K27" s="50" t="s">
        <v>8</v>
      </c>
      <c r="L27" s="50" t="s">
        <v>10</v>
      </c>
      <c r="M27" s="50" t="s">
        <v>11</v>
      </c>
      <c r="N27" s="8"/>
    </row>
    <row r="28" spans="1:21" x14ac:dyDescent="0.25">
      <c r="G28" s="49" t="s">
        <v>116</v>
      </c>
      <c r="H28" s="49" t="s">
        <v>2</v>
      </c>
      <c r="I28" s="49" t="s">
        <v>8</v>
      </c>
      <c r="J28" s="49" t="s">
        <v>2</v>
      </c>
      <c r="K28" s="49" t="s">
        <v>2</v>
      </c>
      <c r="L28" s="49" t="s">
        <v>8</v>
      </c>
      <c r="M28" s="49" t="s">
        <v>2</v>
      </c>
      <c r="N28" s="8"/>
    </row>
    <row r="29" spans="1:21" x14ac:dyDescent="0.25">
      <c r="G29" s="49" t="s">
        <v>61</v>
      </c>
      <c r="H29" s="49" t="s">
        <v>2</v>
      </c>
      <c r="I29" s="49" t="s">
        <v>8</v>
      </c>
      <c r="J29" s="49" t="s">
        <v>2</v>
      </c>
      <c r="K29" s="49" t="s">
        <v>2</v>
      </c>
      <c r="L29" s="49" t="s">
        <v>2</v>
      </c>
      <c r="M29" s="49" t="s">
        <v>2</v>
      </c>
      <c r="N29" s="8"/>
    </row>
    <row r="30" spans="1:21" x14ac:dyDescent="0.25">
      <c r="G30" s="50" t="s">
        <v>63</v>
      </c>
      <c r="H30" s="50" t="s">
        <v>2</v>
      </c>
      <c r="I30" s="50" t="s">
        <v>8</v>
      </c>
      <c r="J30" s="50" t="s">
        <v>2</v>
      </c>
      <c r="K30" s="50" t="s">
        <v>11</v>
      </c>
      <c r="L30" s="50" t="s">
        <v>8</v>
      </c>
      <c r="M30" s="50" t="s">
        <v>2</v>
      </c>
      <c r="N30" s="8"/>
    </row>
    <row r="31" spans="1:21" x14ac:dyDescent="0.25">
      <c r="G31" s="50" t="s">
        <v>100</v>
      </c>
      <c r="H31" s="50" t="s">
        <v>2</v>
      </c>
      <c r="I31" s="50" t="s">
        <v>8</v>
      </c>
      <c r="J31" s="50" t="s">
        <v>2</v>
      </c>
      <c r="K31" s="50" t="s">
        <v>4</v>
      </c>
      <c r="L31" s="50" t="s">
        <v>8</v>
      </c>
      <c r="M31" s="50" t="s">
        <v>2</v>
      </c>
      <c r="N31" s="8"/>
    </row>
    <row r="32" spans="1:21" x14ac:dyDescent="0.25">
      <c r="G32" s="50" t="s">
        <v>49</v>
      </c>
      <c r="H32" s="50" t="s">
        <v>2</v>
      </c>
      <c r="I32" s="50" t="s">
        <v>8</v>
      </c>
      <c r="J32" s="50" t="s">
        <v>2</v>
      </c>
      <c r="K32" s="50" t="s">
        <v>5</v>
      </c>
      <c r="L32" s="50" t="s">
        <v>8</v>
      </c>
      <c r="M32" s="50" t="s">
        <v>2</v>
      </c>
      <c r="N32" s="8"/>
    </row>
    <row r="33" spans="7:14" x14ac:dyDescent="0.25">
      <c r="G33" s="50" t="s">
        <v>97</v>
      </c>
      <c r="H33" s="50" t="s">
        <v>2</v>
      </c>
      <c r="I33" s="50" t="s">
        <v>8</v>
      </c>
      <c r="J33" s="50" t="s">
        <v>2</v>
      </c>
      <c r="K33" s="50" t="s">
        <v>6</v>
      </c>
      <c r="L33" s="50" t="s">
        <v>8</v>
      </c>
      <c r="M33" s="50" t="s">
        <v>2</v>
      </c>
      <c r="N33" s="8"/>
    </row>
    <row r="34" spans="7:14" x14ac:dyDescent="0.25">
      <c r="G34" s="50" t="s">
        <v>56</v>
      </c>
      <c r="H34" s="50" t="s">
        <v>2</v>
      </c>
      <c r="I34" s="50" t="s">
        <v>8</v>
      </c>
      <c r="J34" s="50" t="s">
        <v>2</v>
      </c>
      <c r="K34" s="50" t="s">
        <v>6</v>
      </c>
      <c r="L34" s="50" t="s">
        <v>10</v>
      </c>
      <c r="M34" s="50" t="s">
        <v>2</v>
      </c>
      <c r="N34" s="8"/>
    </row>
    <row r="35" spans="7:14" x14ac:dyDescent="0.25">
      <c r="G35" s="50" t="s">
        <v>52</v>
      </c>
      <c r="H35" s="50" t="s">
        <v>2</v>
      </c>
      <c r="I35" s="50" t="s">
        <v>8</v>
      </c>
      <c r="J35" s="50" t="s">
        <v>2</v>
      </c>
      <c r="K35" s="50" t="s">
        <v>6</v>
      </c>
      <c r="L35" s="50" t="s">
        <v>10</v>
      </c>
      <c r="M35" s="50" t="s">
        <v>11</v>
      </c>
      <c r="N35" s="8"/>
    </row>
    <row r="36" spans="7:14" x14ac:dyDescent="0.25">
      <c r="G36" s="49" t="s">
        <v>75</v>
      </c>
      <c r="H36" s="49" t="s">
        <v>2</v>
      </c>
      <c r="I36" s="49" t="s">
        <v>2</v>
      </c>
      <c r="J36" s="49" t="s">
        <v>2</v>
      </c>
      <c r="K36" s="49" t="s">
        <v>2</v>
      </c>
      <c r="L36" s="49" t="s">
        <v>2</v>
      </c>
      <c r="M36" s="49" t="s">
        <v>2</v>
      </c>
      <c r="N36" s="8"/>
    </row>
    <row r="37" spans="7:14" x14ac:dyDescent="0.25">
      <c r="G37" s="49" t="s">
        <v>72</v>
      </c>
      <c r="H37" s="49" t="s">
        <v>2</v>
      </c>
      <c r="I37" s="49" t="s">
        <v>6</v>
      </c>
      <c r="J37" s="49" t="s">
        <v>2</v>
      </c>
      <c r="K37" s="49" t="s">
        <v>4</v>
      </c>
      <c r="L37" s="49" t="s">
        <v>0</v>
      </c>
      <c r="M37" s="49" t="s">
        <v>2</v>
      </c>
      <c r="N37" s="8"/>
    </row>
    <row r="38" spans="7:14" x14ac:dyDescent="0.25">
      <c r="G38" s="50" t="s">
        <v>47</v>
      </c>
      <c r="H38" s="50" t="s">
        <v>2</v>
      </c>
      <c r="I38" s="50" t="s">
        <v>6</v>
      </c>
      <c r="J38" s="50" t="s">
        <v>2</v>
      </c>
      <c r="K38" s="50" t="s">
        <v>6</v>
      </c>
      <c r="L38" s="50" t="s">
        <v>10</v>
      </c>
      <c r="M38" s="50" t="s">
        <v>2</v>
      </c>
      <c r="N38" s="8"/>
    </row>
    <row r="39" spans="7:14" x14ac:dyDescent="0.25">
      <c r="G39" s="49" t="s">
        <v>65</v>
      </c>
      <c r="H39" s="49" t="s">
        <v>2</v>
      </c>
      <c r="I39" s="49" t="s">
        <v>6</v>
      </c>
      <c r="J39" s="49" t="s">
        <v>2</v>
      </c>
      <c r="K39" s="49" t="s">
        <v>6</v>
      </c>
      <c r="L39" s="49" t="s">
        <v>10</v>
      </c>
      <c r="M39" s="49" t="s">
        <v>11</v>
      </c>
      <c r="N39" s="8"/>
    </row>
    <row r="40" spans="7:14" x14ac:dyDescent="0.25">
      <c r="G40" s="50" t="s">
        <v>57</v>
      </c>
      <c r="H40" s="50" t="s">
        <v>2</v>
      </c>
      <c r="I40" s="50" t="s">
        <v>6</v>
      </c>
      <c r="J40" s="50" t="s">
        <v>2</v>
      </c>
      <c r="K40" s="50" t="s">
        <v>6</v>
      </c>
      <c r="L40" s="50" t="s">
        <v>9</v>
      </c>
      <c r="M40" s="50" t="s">
        <v>2</v>
      </c>
      <c r="N40" s="8"/>
    </row>
    <row r="41" spans="7:14" x14ac:dyDescent="0.25">
      <c r="G41" s="49" t="s">
        <v>64</v>
      </c>
      <c r="H41" s="49" t="s">
        <v>2</v>
      </c>
      <c r="I41" s="49" t="s">
        <v>6</v>
      </c>
      <c r="J41" s="49" t="s">
        <v>2</v>
      </c>
      <c r="K41" s="49" t="s">
        <v>6</v>
      </c>
      <c r="L41" s="49" t="s">
        <v>0</v>
      </c>
      <c r="M41" s="49" t="s">
        <v>2</v>
      </c>
      <c r="N41" s="8"/>
    </row>
    <row r="42" spans="7:14" x14ac:dyDescent="0.25">
      <c r="G42" s="50" t="s">
        <v>60</v>
      </c>
      <c r="H42" s="50" t="s">
        <v>11</v>
      </c>
      <c r="I42" s="50" t="s">
        <v>8</v>
      </c>
      <c r="J42" s="50" t="s">
        <v>1</v>
      </c>
      <c r="K42" s="50" t="s">
        <v>11</v>
      </c>
      <c r="L42" s="50" t="s">
        <v>8</v>
      </c>
      <c r="M42" s="50" t="s">
        <v>1</v>
      </c>
      <c r="N42" s="8"/>
    </row>
    <row r="43" spans="7:14" x14ac:dyDescent="0.25">
      <c r="G43" s="50" t="s">
        <v>59</v>
      </c>
      <c r="H43" s="50" t="s">
        <v>11</v>
      </c>
      <c r="I43" s="50" t="s">
        <v>8</v>
      </c>
      <c r="J43" s="50" t="s">
        <v>1</v>
      </c>
      <c r="K43" s="50" t="s">
        <v>11</v>
      </c>
      <c r="L43" s="50" t="s">
        <v>8</v>
      </c>
      <c r="M43" s="50" t="s">
        <v>11</v>
      </c>
      <c r="N43" s="8"/>
    </row>
    <row r="44" spans="7:14" x14ac:dyDescent="0.25">
      <c r="G44" s="49" t="s">
        <v>77</v>
      </c>
      <c r="H44" s="49" t="s">
        <v>11</v>
      </c>
      <c r="I44" s="49" t="s">
        <v>8</v>
      </c>
      <c r="J44" s="49" t="s">
        <v>2</v>
      </c>
      <c r="K44" s="49" t="s">
        <v>11</v>
      </c>
      <c r="L44" s="49" t="s">
        <v>8</v>
      </c>
      <c r="M44" s="49" t="s">
        <v>8</v>
      </c>
      <c r="N44" s="8"/>
    </row>
    <row r="45" spans="7:14" x14ac:dyDescent="0.25">
      <c r="G45" s="49" t="s">
        <v>70</v>
      </c>
      <c r="H45" s="49" t="s">
        <v>11</v>
      </c>
      <c r="I45" s="49" t="s">
        <v>8</v>
      </c>
      <c r="J45" s="49" t="s">
        <v>2</v>
      </c>
      <c r="K45" s="49" t="s">
        <v>6</v>
      </c>
      <c r="L45" s="49" t="s">
        <v>0</v>
      </c>
      <c r="M45" s="49" t="s">
        <v>4</v>
      </c>
      <c r="N45" s="8"/>
    </row>
    <row r="46" spans="7:14" x14ac:dyDescent="0.25">
      <c r="G46" s="49" t="s">
        <v>81</v>
      </c>
      <c r="H46" s="49" t="s">
        <v>11</v>
      </c>
      <c r="I46" s="49" t="s">
        <v>10</v>
      </c>
      <c r="J46" s="49" t="s">
        <v>6</v>
      </c>
      <c r="K46" s="49" t="s">
        <v>2</v>
      </c>
      <c r="L46" s="49" t="s">
        <v>8</v>
      </c>
      <c r="M46" s="49" t="s">
        <v>11</v>
      </c>
      <c r="N46" s="8"/>
    </row>
    <row r="47" spans="7:14" x14ac:dyDescent="0.25">
      <c r="G47" s="49" t="s">
        <v>80</v>
      </c>
      <c r="H47" s="49" t="s">
        <v>6</v>
      </c>
      <c r="I47" s="49" t="s">
        <v>10</v>
      </c>
      <c r="J47" s="49" t="s">
        <v>2</v>
      </c>
      <c r="K47" s="49" t="s">
        <v>6</v>
      </c>
      <c r="L47" s="49" t="s">
        <v>10</v>
      </c>
      <c r="M47" s="49" t="s">
        <v>2</v>
      </c>
      <c r="N47" s="8"/>
    </row>
    <row r="48" spans="7:14" x14ac:dyDescent="0.25">
      <c r="G48" s="50" t="s">
        <v>99</v>
      </c>
      <c r="H48" s="52" t="s">
        <v>10</v>
      </c>
      <c r="I48" s="52" t="s">
        <v>5</v>
      </c>
      <c r="J48" s="52" t="s">
        <v>3</v>
      </c>
      <c r="K48" s="52" t="s">
        <v>3</v>
      </c>
      <c r="L48" s="52" t="s">
        <v>5</v>
      </c>
      <c r="M48" s="52" t="s">
        <v>10</v>
      </c>
      <c r="N48" s="8"/>
    </row>
    <row r="49" spans="7:14" x14ac:dyDescent="0.25">
      <c r="G49" s="50" t="s">
        <v>101</v>
      </c>
      <c r="H49" s="52" t="s">
        <v>2</v>
      </c>
      <c r="I49" s="52" t="s">
        <v>6</v>
      </c>
      <c r="J49" s="52" t="s">
        <v>2</v>
      </c>
      <c r="K49" s="52" t="s">
        <v>2</v>
      </c>
      <c r="L49" s="52" t="s">
        <v>6</v>
      </c>
      <c r="M49" s="52" t="s">
        <v>2</v>
      </c>
      <c r="N49" s="8"/>
    </row>
    <row r="50" spans="7:14" x14ac:dyDescent="0.25">
      <c r="G50" s="50" t="s">
        <v>102</v>
      </c>
      <c r="H50" s="52" t="s">
        <v>2</v>
      </c>
      <c r="I50" s="52" t="s">
        <v>8</v>
      </c>
      <c r="J50" s="52" t="s">
        <v>2</v>
      </c>
      <c r="K50" s="52" t="s">
        <v>2</v>
      </c>
      <c r="L50" s="52" t="s">
        <v>8</v>
      </c>
      <c r="M50" s="52" t="s">
        <v>8</v>
      </c>
      <c r="N50" s="8"/>
    </row>
    <row r="51" spans="7:14" x14ac:dyDescent="0.25">
      <c r="G51" s="50" t="s">
        <v>103</v>
      </c>
      <c r="H51" s="52" t="s">
        <v>0</v>
      </c>
      <c r="I51" s="52" t="s">
        <v>6</v>
      </c>
      <c r="J51" s="52" t="s">
        <v>11</v>
      </c>
      <c r="K51" s="52" t="s">
        <v>11</v>
      </c>
      <c r="L51" s="52" t="s">
        <v>10</v>
      </c>
      <c r="M51" s="52" t="s">
        <v>11</v>
      </c>
      <c r="N51" s="8"/>
    </row>
    <row r="52" spans="7:14" x14ac:dyDescent="0.25">
      <c r="G52" s="50" t="s">
        <v>104</v>
      </c>
      <c r="H52" s="52" t="s">
        <v>2</v>
      </c>
      <c r="I52" s="52" t="s">
        <v>8</v>
      </c>
      <c r="J52" s="52" t="s">
        <v>2</v>
      </c>
      <c r="K52" s="52" t="s">
        <v>11</v>
      </c>
      <c r="L52" s="52" t="s">
        <v>6</v>
      </c>
      <c r="M52" s="52" t="s">
        <v>8</v>
      </c>
      <c r="N52" s="8"/>
    </row>
    <row r="53" spans="7:14" x14ac:dyDescent="0.25">
      <c r="G53" s="50" t="s">
        <v>105</v>
      </c>
      <c r="H53" s="52" t="s">
        <v>0</v>
      </c>
      <c r="I53" s="52" t="s">
        <v>6</v>
      </c>
      <c r="J53" s="52" t="s">
        <v>2</v>
      </c>
      <c r="K53" s="52" t="s">
        <v>4</v>
      </c>
      <c r="L53" s="52" t="s">
        <v>6</v>
      </c>
      <c r="M53" s="52" t="s">
        <v>0</v>
      </c>
      <c r="N53" s="8"/>
    </row>
    <row r="54" spans="7:14" x14ac:dyDescent="0.25">
      <c r="G54" s="50" t="s">
        <v>106</v>
      </c>
      <c r="H54" s="52" t="s">
        <v>2</v>
      </c>
      <c r="I54" s="52" t="s">
        <v>8</v>
      </c>
      <c r="J54" s="52" t="s">
        <v>11</v>
      </c>
      <c r="K54" s="52" t="s">
        <v>6</v>
      </c>
      <c r="L54" s="52" t="s">
        <v>0</v>
      </c>
      <c r="M54" s="52" t="s">
        <v>11</v>
      </c>
      <c r="N54" s="8"/>
    </row>
    <row r="55" spans="7:14" x14ac:dyDescent="0.25">
      <c r="G55" s="50" t="s">
        <v>107</v>
      </c>
      <c r="H55" s="52" t="s">
        <v>8</v>
      </c>
      <c r="I55" s="52" t="s">
        <v>8</v>
      </c>
      <c r="J55" s="52" t="s">
        <v>1</v>
      </c>
      <c r="K55" s="52" t="s">
        <v>11</v>
      </c>
      <c r="L55" s="52" t="s">
        <v>8</v>
      </c>
      <c r="M55" s="52" t="s">
        <v>11</v>
      </c>
      <c r="N55" s="8"/>
    </row>
    <row r="56" spans="7:14" x14ac:dyDescent="0.25">
      <c r="G56" s="50" t="s">
        <v>108</v>
      </c>
      <c r="H56" s="52" t="s">
        <v>0</v>
      </c>
      <c r="I56" s="52" t="s">
        <v>6</v>
      </c>
      <c r="J56" s="52" t="s">
        <v>2</v>
      </c>
      <c r="K56" s="52" t="s">
        <v>4</v>
      </c>
      <c r="L56" s="52" t="s">
        <v>0</v>
      </c>
      <c r="M56" s="52" t="s">
        <v>11</v>
      </c>
      <c r="N56" s="8"/>
    </row>
    <row r="57" spans="7:14" x14ac:dyDescent="0.25">
      <c r="G57" s="50" t="s">
        <v>109</v>
      </c>
      <c r="H57" s="52" t="s">
        <v>10</v>
      </c>
      <c r="I57" s="52" t="s">
        <v>5</v>
      </c>
      <c r="J57" s="52" t="s">
        <v>2</v>
      </c>
      <c r="K57" s="52" t="s">
        <v>5</v>
      </c>
      <c r="L57" s="52" t="s">
        <v>8</v>
      </c>
      <c r="M57" s="52" t="s">
        <v>10</v>
      </c>
      <c r="N57" s="8"/>
    </row>
    <row r="58" spans="7:14" x14ac:dyDescent="0.25">
      <c r="G58" s="50" t="s">
        <v>110</v>
      </c>
      <c r="H58" s="52" t="s">
        <v>9</v>
      </c>
      <c r="I58" s="52" t="s">
        <v>9</v>
      </c>
      <c r="J58" s="52" t="s">
        <v>1</v>
      </c>
      <c r="K58" s="52" t="s">
        <v>4</v>
      </c>
      <c r="L58" s="52" t="s">
        <v>7</v>
      </c>
      <c r="M58" s="52" t="s">
        <v>9</v>
      </c>
      <c r="N58" s="8"/>
    </row>
    <row r="59" spans="7:14" x14ac:dyDescent="0.25">
      <c r="G59" s="50" t="s">
        <v>111</v>
      </c>
      <c r="H59" s="52" t="s">
        <v>0</v>
      </c>
      <c r="I59" s="52" t="s">
        <v>6</v>
      </c>
      <c r="J59" s="52" t="s">
        <v>0</v>
      </c>
      <c r="K59" s="52" t="s">
        <v>11</v>
      </c>
      <c r="L59" s="52" t="s">
        <v>6</v>
      </c>
      <c r="M59" s="52" t="s">
        <v>0</v>
      </c>
      <c r="N59" s="8"/>
    </row>
    <row r="60" spans="7:14" x14ac:dyDescent="0.25">
      <c r="G60" s="50" t="s">
        <v>112</v>
      </c>
      <c r="H60" s="52" t="s">
        <v>0</v>
      </c>
      <c r="I60" s="52" t="s">
        <v>8</v>
      </c>
      <c r="J60" s="52" t="s">
        <v>0</v>
      </c>
      <c r="K60" s="52" t="s">
        <v>4</v>
      </c>
      <c r="L60" s="52" t="s">
        <v>6</v>
      </c>
      <c r="M60" s="52" t="s">
        <v>0</v>
      </c>
      <c r="N60" s="8"/>
    </row>
    <row r="61" spans="7:14" x14ac:dyDescent="0.25">
      <c r="G61" s="50" t="s">
        <v>113</v>
      </c>
      <c r="H61" s="52" t="s">
        <v>4</v>
      </c>
      <c r="I61" s="52" t="s">
        <v>4</v>
      </c>
      <c r="J61" s="52" t="s">
        <v>0</v>
      </c>
      <c r="K61" s="52" t="s">
        <v>6</v>
      </c>
      <c r="L61" s="52" t="s">
        <v>8</v>
      </c>
      <c r="M61" s="52" t="s">
        <v>0</v>
      </c>
      <c r="N61" s="8"/>
    </row>
    <row r="62" spans="7:14" x14ac:dyDescent="0.25">
      <c r="G62" s="53" t="s">
        <v>115</v>
      </c>
      <c r="H62" s="52" t="s">
        <v>11</v>
      </c>
      <c r="I62" s="52" t="s">
        <v>11</v>
      </c>
      <c r="J62" s="52" t="s">
        <v>11</v>
      </c>
      <c r="K62" s="52" t="s">
        <v>11</v>
      </c>
      <c r="L62" s="52" t="s">
        <v>10</v>
      </c>
      <c r="M62" s="52" t="s">
        <v>11</v>
      </c>
      <c r="N62" s="8"/>
    </row>
    <row r="63" spans="7:14" x14ac:dyDescent="0.25">
      <c r="N63" s="8"/>
    </row>
  </sheetData>
  <sortState ref="G3:M54">
    <sortCondition ref="H3:H54"/>
    <sortCondition ref="I3:I54"/>
    <sortCondition ref="J3:J54"/>
    <sortCondition ref="K3:K54"/>
    <sortCondition ref="L3:L54"/>
    <sortCondition ref="M3:M54"/>
  </sortState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Chords</vt:lpstr>
      <vt:lpstr>Data</vt:lpstr>
      <vt:lpstr>Notes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</dc:creator>
  <cp:lastModifiedBy>Rob</cp:lastModifiedBy>
  <cp:lastPrinted>2017-11-20T18:38:19Z</cp:lastPrinted>
  <dcterms:created xsi:type="dcterms:W3CDTF">2017-10-22T13:41:43Z</dcterms:created>
  <dcterms:modified xsi:type="dcterms:W3CDTF">2017-12-11T14:48:27Z</dcterms:modified>
</cp:coreProperties>
</file>